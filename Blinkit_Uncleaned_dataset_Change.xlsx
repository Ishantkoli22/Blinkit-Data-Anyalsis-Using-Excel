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4.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6.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7.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ISHANT\OneDrive\Desktop\Data Analytics All Notes\"/>
    </mc:Choice>
  </mc:AlternateContent>
  <xr:revisionPtr revIDLastSave="0" documentId="13_ncr:1_{D915A6C8-4862-46CF-B380-FF2DB09C0674}" xr6:coauthVersionLast="47" xr6:coauthVersionMax="47" xr10:uidLastSave="{00000000-0000-0000-0000-000000000000}"/>
  <bookViews>
    <workbookView xWindow="-108" yWindow="-108" windowWidth="23256" windowHeight="12456" firstSheet="5" activeTab="8" xr2:uid="{00000000-000D-0000-FFFF-FFFF00000000}"/>
  </bookViews>
  <sheets>
    <sheet name="Date Payable Chart" sheetId="3" r:id="rId1"/>
    <sheet name="Delivery Report Chart" sheetId="5" r:id="rId2"/>
    <sheet name="Discount People Chart" sheetId="6" r:id="rId3"/>
    <sheet name="City Name Chart" sheetId="8" r:id="rId4"/>
    <sheet name="Product Name Chart" sheetId="7" r:id="rId5"/>
    <sheet name="Payment Mode Chart" sheetId="9" r:id="rId6"/>
    <sheet name="Days Wise Total Value" sheetId="10" r:id="rId7"/>
    <sheet name="Blinkit Data Dashboard" sheetId="11" r:id="rId8"/>
    <sheet name="Uncleaned_Blinkit_Data" sheetId="1" r:id="rId9"/>
  </sheets>
  <definedNames>
    <definedName name="_xlnm._FilterDatabase" localSheetId="8" hidden="1">Uncleaned_Blinkit_Data!$A$1:$X$501</definedName>
    <definedName name="Slicer_City">#N/A</definedName>
    <definedName name="Slicer_Customer_ID">#N/A</definedName>
    <definedName name="Slicer_day_name">#N/A</definedName>
    <definedName name="Slicer_Order_Date">#N/A</definedName>
    <definedName name="Slicer_Order_ID">#N/A</definedName>
    <definedName name="Slicer_Payment_Mode">#N/A</definedName>
    <definedName name="Slicer_Product_Name">#N/A</definedName>
    <definedName name="Slicer_Quantity">#N/A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1" l="1"/>
  <c r="J10" i="1"/>
  <c r="J3" i="1"/>
  <c r="J4" i="1"/>
  <c r="J5" i="1"/>
  <c r="J6" i="1"/>
  <c r="J8" i="1"/>
  <c r="J9"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02" i="1"/>
  <c r="H202" i="1" s="1"/>
  <c r="G203" i="1"/>
  <c r="H203" i="1" s="1"/>
  <c r="G204" i="1"/>
  <c r="H204" i="1" s="1"/>
  <c r="G205" i="1"/>
  <c r="H205" i="1" s="1"/>
  <c r="G206" i="1"/>
  <c r="H206" i="1" s="1"/>
  <c r="G207" i="1"/>
  <c r="H207" i="1" s="1"/>
  <c r="G208" i="1"/>
  <c r="H208" i="1" s="1"/>
  <c r="G209" i="1"/>
  <c r="H209" i="1" s="1"/>
  <c r="G210" i="1"/>
  <c r="H210" i="1" s="1"/>
  <c r="G211" i="1"/>
  <c r="H211" i="1" s="1"/>
  <c r="G212" i="1"/>
  <c r="H212" i="1" s="1"/>
  <c r="G213" i="1"/>
  <c r="H213" i="1" s="1"/>
  <c r="G214" i="1"/>
  <c r="H214" i="1" s="1"/>
  <c r="G215" i="1"/>
  <c r="H215" i="1" s="1"/>
  <c r="G216" i="1"/>
  <c r="H216" i="1" s="1"/>
  <c r="G217" i="1"/>
  <c r="H217" i="1" s="1"/>
  <c r="G218" i="1"/>
  <c r="H218" i="1" s="1"/>
  <c r="G219" i="1"/>
  <c r="H219" i="1" s="1"/>
  <c r="G220" i="1"/>
  <c r="H220" i="1" s="1"/>
  <c r="G221" i="1"/>
  <c r="H221" i="1" s="1"/>
  <c r="G222" i="1"/>
  <c r="H222" i="1" s="1"/>
  <c r="G223" i="1"/>
  <c r="H223" i="1" s="1"/>
  <c r="G224" i="1"/>
  <c r="H224" i="1" s="1"/>
  <c r="G225" i="1"/>
  <c r="H225" i="1" s="1"/>
  <c r="G226" i="1"/>
  <c r="H226" i="1" s="1"/>
  <c r="G227" i="1"/>
  <c r="H227" i="1" s="1"/>
  <c r="G228" i="1"/>
  <c r="H228" i="1" s="1"/>
  <c r="G229" i="1"/>
  <c r="H229" i="1" s="1"/>
  <c r="G230" i="1"/>
  <c r="H230" i="1" s="1"/>
  <c r="G231" i="1"/>
  <c r="H231" i="1" s="1"/>
  <c r="G232" i="1"/>
  <c r="H232" i="1" s="1"/>
  <c r="G233" i="1"/>
  <c r="H233" i="1" s="1"/>
  <c r="G234" i="1"/>
  <c r="H234" i="1" s="1"/>
  <c r="G235" i="1"/>
  <c r="H235" i="1" s="1"/>
  <c r="G236" i="1"/>
  <c r="H236" i="1" s="1"/>
  <c r="G237" i="1"/>
  <c r="H237" i="1" s="1"/>
  <c r="G238" i="1"/>
  <c r="H238" i="1" s="1"/>
  <c r="G239" i="1"/>
  <c r="H239" i="1" s="1"/>
  <c r="G240" i="1"/>
  <c r="H240" i="1" s="1"/>
  <c r="G241" i="1"/>
  <c r="H241" i="1" s="1"/>
  <c r="G242" i="1"/>
  <c r="H242" i="1" s="1"/>
  <c r="G243" i="1"/>
  <c r="H243" i="1" s="1"/>
  <c r="G244" i="1"/>
  <c r="H244" i="1" s="1"/>
  <c r="G245" i="1"/>
  <c r="H245" i="1" s="1"/>
  <c r="G246" i="1"/>
  <c r="H246" i="1" s="1"/>
  <c r="G247" i="1"/>
  <c r="H247" i="1" s="1"/>
  <c r="G248" i="1"/>
  <c r="H248" i="1" s="1"/>
  <c r="G249" i="1"/>
  <c r="H249" i="1" s="1"/>
  <c r="G250" i="1"/>
  <c r="H250" i="1" s="1"/>
  <c r="G251" i="1"/>
  <c r="H251" i="1" s="1"/>
  <c r="G252" i="1"/>
  <c r="H252" i="1" s="1"/>
  <c r="G253" i="1"/>
  <c r="H253" i="1" s="1"/>
  <c r="G254" i="1"/>
  <c r="H254" i="1" s="1"/>
  <c r="G255" i="1"/>
  <c r="H255" i="1" s="1"/>
  <c r="G256" i="1"/>
  <c r="H256" i="1" s="1"/>
  <c r="G257" i="1"/>
  <c r="H257" i="1" s="1"/>
  <c r="G258" i="1"/>
  <c r="H258" i="1" s="1"/>
  <c r="G259" i="1"/>
  <c r="H259" i="1" s="1"/>
  <c r="G260" i="1"/>
  <c r="H260" i="1" s="1"/>
  <c r="G261" i="1"/>
  <c r="H261" i="1" s="1"/>
  <c r="G262" i="1"/>
  <c r="H262" i="1" s="1"/>
  <c r="G263" i="1"/>
  <c r="H263" i="1" s="1"/>
  <c r="G264" i="1"/>
  <c r="H264" i="1" s="1"/>
  <c r="G265" i="1"/>
  <c r="H265" i="1" s="1"/>
  <c r="G266" i="1"/>
  <c r="H266" i="1" s="1"/>
  <c r="G267" i="1"/>
  <c r="H267" i="1" s="1"/>
  <c r="G268" i="1"/>
  <c r="H268" i="1" s="1"/>
  <c r="G269" i="1"/>
  <c r="H269" i="1" s="1"/>
  <c r="G270" i="1"/>
  <c r="H270" i="1" s="1"/>
  <c r="G271" i="1"/>
  <c r="H271" i="1" s="1"/>
  <c r="G272" i="1"/>
  <c r="H272" i="1" s="1"/>
  <c r="G273" i="1"/>
  <c r="H273" i="1" s="1"/>
  <c r="G274" i="1"/>
  <c r="H274" i="1" s="1"/>
  <c r="G275" i="1"/>
  <c r="H275" i="1" s="1"/>
  <c r="G276" i="1"/>
  <c r="H276" i="1" s="1"/>
  <c r="G277" i="1"/>
  <c r="H277" i="1" s="1"/>
  <c r="G278" i="1"/>
  <c r="H278" i="1" s="1"/>
  <c r="G279" i="1"/>
  <c r="H279" i="1" s="1"/>
  <c r="G280" i="1"/>
  <c r="H280" i="1" s="1"/>
  <c r="G281" i="1"/>
  <c r="H281" i="1" s="1"/>
  <c r="G282" i="1"/>
  <c r="H282" i="1" s="1"/>
  <c r="G283" i="1"/>
  <c r="H283" i="1" s="1"/>
  <c r="G284" i="1"/>
  <c r="H284" i="1" s="1"/>
  <c r="G285" i="1"/>
  <c r="H285" i="1" s="1"/>
  <c r="G286" i="1"/>
  <c r="H286" i="1" s="1"/>
  <c r="G287" i="1"/>
  <c r="H287" i="1" s="1"/>
  <c r="G288" i="1"/>
  <c r="H288" i="1" s="1"/>
  <c r="G289" i="1"/>
  <c r="H289" i="1" s="1"/>
  <c r="G290" i="1"/>
  <c r="H290" i="1" s="1"/>
  <c r="G291" i="1"/>
  <c r="H291" i="1" s="1"/>
  <c r="G292" i="1"/>
  <c r="H292" i="1" s="1"/>
  <c r="G293" i="1"/>
  <c r="H293" i="1" s="1"/>
  <c r="G294" i="1"/>
  <c r="H294" i="1" s="1"/>
  <c r="G295" i="1"/>
  <c r="H295" i="1" s="1"/>
  <c r="G296" i="1"/>
  <c r="H296" i="1" s="1"/>
  <c r="G297" i="1"/>
  <c r="H297" i="1" s="1"/>
  <c r="G298" i="1"/>
  <c r="H298" i="1" s="1"/>
  <c r="G299" i="1"/>
  <c r="H299" i="1" s="1"/>
  <c r="G300" i="1"/>
  <c r="H300" i="1" s="1"/>
  <c r="G301" i="1"/>
  <c r="H301" i="1" s="1"/>
  <c r="G302" i="1"/>
  <c r="H302" i="1" s="1"/>
  <c r="G303" i="1"/>
  <c r="H303" i="1" s="1"/>
  <c r="G304" i="1"/>
  <c r="H304" i="1" s="1"/>
  <c r="G305" i="1"/>
  <c r="H305" i="1" s="1"/>
  <c r="G306" i="1"/>
  <c r="H306" i="1" s="1"/>
  <c r="G307" i="1"/>
  <c r="H307" i="1" s="1"/>
  <c r="G308" i="1"/>
  <c r="H308" i="1" s="1"/>
  <c r="G309" i="1"/>
  <c r="H309" i="1" s="1"/>
  <c r="G310" i="1"/>
  <c r="H310" i="1" s="1"/>
  <c r="G311" i="1"/>
  <c r="H311" i="1" s="1"/>
  <c r="G312" i="1"/>
  <c r="H312" i="1" s="1"/>
  <c r="G313" i="1"/>
  <c r="H313" i="1" s="1"/>
  <c r="G314" i="1"/>
  <c r="H314" i="1" s="1"/>
  <c r="G315" i="1"/>
  <c r="H315" i="1" s="1"/>
  <c r="G316" i="1"/>
  <c r="H316" i="1" s="1"/>
  <c r="G317" i="1"/>
  <c r="H317" i="1" s="1"/>
  <c r="G318" i="1"/>
  <c r="H318" i="1" s="1"/>
  <c r="G319" i="1"/>
  <c r="H319" i="1" s="1"/>
  <c r="G320" i="1"/>
  <c r="H320" i="1" s="1"/>
  <c r="G321" i="1"/>
  <c r="H321" i="1" s="1"/>
  <c r="G322" i="1"/>
  <c r="H322" i="1" s="1"/>
  <c r="G323" i="1"/>
  <c r="H323" i="1" s="1"/>
  <c r="G324" i="1"/>
  <c r="H324" i="1" s="1"/>
  <c r="G325" i="1"/>
  <c r="H325" i="1" s="1"/>
  <c r="G326" i="1"/>
  <c r="H326" i="1" s="1"/>
  <c r="G327" i="1"/>
  <c r="H327" i="1" s="1"/>
  <c r="G328" i="1"/>
  <c r="H328" i="1" s="1"/>
  <c r="G329" i="1"/>
  <c r="H329" i="1" s="1"/>
  <c r="G330" i="1"/>
  <c r="H330" i="1" s="1"/>
  <c r="G331" i="1"/>
  <c r="H331" i="1" s="1"/>
  <c r="G332" i="1"/>
  <c r="H332" i="1" s="1"/>
  <c r="G333" i="1"/>
  <c r="H333" i="1" s="1"/>
  <c r="G334" i="1"/>
  <c r="H334" i="1" s="1"/>
  <c r="G335" i="1"/>
  <c r="H335" i="1" s="1"/>
  <c r="G336" i="1"/>
  <c r="H336" i="1" s="1"/>
  <c r="G337" i="1"/>
  <c r="H337" i="1" s="1"/>
  <c r="G338" i="1"/>
  <c r="H338" i="1" s="1"/>
  <c r="G339" i="1"/>
  <c r="H339" i="1" s="1"/>
  <c r="G340" i="1"/>
  <c r="H340" i="1" s="1"/>
  <c r="G341" i="1"/>
  <c r="H341" i="1" s="1"/>
  <c r="G342" i="1"/>
  <c r="H342" i="1" s="1"/>
  <c r="G343" i="1"/>
  <c r="H343" i="1" s="1"/>
  <c r="G344" i="1"/>
  <c r="H344" i="1" s="1"/>
  <c r="G345" i="1"/>
  <c r="H345" i="1" s="1"/>
  <c r="G346" i="1"/>
  <c r="H346" i="1" s="1"/>
  <c r="G347" i="1"/>
  <c r="H347" i="1" s="1"/>
  <c r="G348" i="1"/>
  <c r="H348" i="1" s="1"/>
  <c r="G349" i="1"/>
  <c r="H349" i="1" s="1"/>
  <c r="G350" i="1"/>
  <c r="H350" i="1" s="1"/>
  <c r="G351" i="1"/>
  <c r="H351" i="1" s="1"/>
  <c r="G352" i="1"/>
  <c r="H352" i="1" s="1"/>
  <c r="G353" i="1"/>
  <c r="H353" i="1" s="1"/>
  <c r="G354" i="1"/>
  <c r="H354" i="1" s="1"/>
  <c r="G355" i="1"/>
  <c r="H355" i="1" s="1"/>
  <c r="G356" i="1"/>
  <c r="H356" i="1" s="1"/>
  <c r="G357" i="1"/>
  <c r="H357" i="1" s="1"/>
  <c r="G358" i="1"/>
  <c r="H358" i="1" s="1"/>
  <c r="G359" i="1"/>
  <c r="H359" i="1" s="1"/>
  <c r="G360" i="1"/>
  <c r="H360" i="1" s="1"/>
  <c r="G361" i="1"/>
  <c r="H361" i="1" s="1"/>
  <c r="G362" i="1"/>
  <c r="H362" i="1" s="1"/>
  <c r="G363" i="1"/>
  <c r="H363" i="1" s="1"/>
  <c r="G364" i="1"/>
  <c r="H364" i="1" s="1"/>
  <c r="G365" i="1"/>
  <c r="H365" i="1" s="1"/>
  <c r="G366" i="1"/>
  <c r="H366" i="1" s="1"/>
  <c r="G367" i="1"/>
  <c r="H367" i="1" s="1"/>
  <c r="G368" i="1"/>
  <c r="H368" i="1" s="1"/>
  <c r="G369" i="1"/>
  <c r="H369" i="1" s="1"/>
  <c r="G370" i="1"/>
  <c r="H370" i="1" s="1"/>
  <c r="G371" i="1"/>
  <c r="H371" i="1" s="1"/>
  <c r="G372" i="1"/>
  <c r="H372" i="1" s="1"/>
  <c r="G373" i="1"/>
  <c r="H373" i="1" s="1"/>
  <c r="G374" i="1"/>
  <c r="H374" i="1" s="1"/>
  <c r="G375" i="1"/>
  <c r="H375" i="1" s="1"/>
  <c r="G376" i="1"/>
  <c r="H376" i="1" s="1"/>
  <c r="G377" i="1"/>
  <c r="H377" i="1" s="1"/>
  <c r="G378" i="1"/>
  <c r="H378" i="1" s="1"/>
  <c r="G379" i="1"/>
  <c r="H379" i="1" s="1"/>
  <c r="G380" i="1"/>
  <c r="H380" i="1" s="1"/>
  <c r="G381" i="1"/>
  <c r="H381" i="1" s="1"/>
  <c r="G382" i="1"/>
  <c r="H382" i="1" s="1"/>
  <c r="G383" i="1"/>
  <c r="H383" i="1" s="1"/>
  <c r="G384" i="1"/>
  <c r="H384" i="1" s="1"/>
  <c r="G385" i="1"/>
  <c r="H385" i="1" s="1"/>
  <c r="G386" i="1"/>
  <c r="H386" i="1" s="1"/>
  <c r="G387" i="1"/>
  <c r="H387" i="1" s="1"/>
  <c r="G388" i="1"/>
  <c r="H388" i="1" s="1"/>
  <c r="G389" i="1"/>
  <c r="H389" i="1" s="1"/>
  <c r="G390" i="1"/>
  <c r="H390" i="1" s="1"/>
  <c r="G391" i="1"/>
  <c r="H391" i="1" s="1"/>
  <c r="G392" i="1"/>
  <c r="H392" i="1" s="1"/>
  <c r="G393" i="1"/>
  <c r="H393" i="1" s="1"/>
  <c r="G394" i="1"/>
  <c r="H394" i="1" s="1"/>
  <c r="G395" i="1"/>
  <c r="H395" i="1" s="1"/>
  <c r="G396" i="1"/>
  <c r="H396" i="1" s="1"/>
  <c r="G397" i="1"/>
  <c r="H397" i="1" s="1"/>
  <c r="G398" i="1"/>
  <c r="H398" i="1" s="1"/>
  <c r="G399" i="1"/>
  <c r="H399" i="1" s="1"/>
  <c r="G400" i="1"/>
  <c r="H400" i="1" s="1"/>
  <c r="G401" i="1"/>
  <c r="H401" i="1" s="1"/>
  <c r="G402" i="1"/>
  <c r="H402" i="1" s="1"/>
  <c r="G403" i="1"/>
  <c r="H403" i="1" s="1"/>
  <c r="G404" i="1"/>
  <c r="H404" i="1" s="1"/>
  <c r="G405" i="1"/>
  <c r="H405" i="1" s="1"/>
  <c r="G406" i="1"/>
  <c r="H406" i="1" s="1"/>
  <c r="G407" i="1"/>
  <c r="H407" i="1" s="1"/>
  <c r="G408" i="1"/>
  <c r="H408" i="1" s="1"/>
  <c r="G409" i="1"/>
  <c r="H409" i="1" s="1"/>
  <c r="G410" i="1"/>
  <c r="H410" i="1" s="1"/>
  <c r="G411" i="1"/>
  <c r="H411" i="1" s="1"/>
  <c r="G412" i="1"/>
  <c r="H412" i="1" s="1"/>
  <c r="G413" i="1"/>
  <c r="H413" i="1" s="1"/>
  <c r="G414" i="1"/>
  <c r="H414" i="1" s="1"/>
  <c r="G415" i="1"/>
  <c r="H415" i="1" s="1"/>
  <c r="G416" i="1"/>
  <c r="H416" i="1" s="1"/>
  <c r="G417" i="1"/>
  <c r="H417" i="1" s="1"/>
  <c r="G418" i="1"/>
  <c r="H418" i="1" s="1"/>
  <c r="G419" i="1"/>
  <c r="H419" i="1" s="1"/>
  <c r="G420" i="1"/>
  <c r="H420" i="1" s="1"/>
  <c r="G421" i="1"/>
  <c r="H421" i="1" s="1"/>
  <c r="G422" i="1"/>
  <c r="H422" i="1" s="1"/>
  <c r="G423" i="1"/>
  <c r="H423" i="1" s="1"/>
  <c r="G424" i="1"/>
  <c r="H424" i="1" s="1"/>
  <c r="G425" i="1"/>
  <c r="H425" i="1" s="1"/>
  <c r="G426" i="1"/>
  <c r="H426" i="1" s="1"/>
  <c r="G427" i="1"/>
  <c r="H427" i="1" s="1"/>
  <c r="G428" i="1"/>
  <c r="H428" i="1" s="1"/>
  <c r="G429" i="1"/>
  <c r="H429" i="1" s="1"/>
  <c r="G430" i="1"/>
  <c r="H430" i="1" s="1"/>
  <c r="G431" i="1"/>
  <c r="H431" i="1" s="1"/>
  <c r="G432" i="1"/>
  <c r="H432" i="1" s="1"/>
  <c r="G433" i="1"/>
  <c r="H433" i="1" s="1"/>
  <c r="G434" i="1"/>
  <c r="H434" i="1" s="1"/>
  <c r="G435" i="1"/>
  <c r="H435" i="1" s="1"/>
  <c r="G436" i="1"/>
  <c r="H436" i="1" s="1"/>
  <c r="G437" i="1"/>
  <c r="H437" i="1" s="1"/>
  <c r="G438" i="1"/>
  <c r="H438" i="1" s="1"/>
  <c r="G439" i="1"/>
  <c r="H439" i="1" s="1"/>
  <c r="G440" i="1"/>
  <c r="H440" i="1" s="1"/>
  <c r="G441" i="1"/>
  <c r="H441" i="1" s="1"/>
  <c r="G442" i="1"/>
  <c r="H442" i="1" s="1"/>
  <c r="G443" i="1"/>
  <c r="H443" i="1" s="1"/>
  <c r="G444" i="1"/>
  <c r="H444" i="1" s="1"/>
  <c r="G445" i="1"/>
  <c r="H445" i="1" s="1"/>
  <c r="G446" i="1"/>
  <c r="H446" i="1" s="1"/>
  <c r="G447" i="1"/>
  <c r="H447" i="1" s="1"/>
  <c r="G448" i="1"/>
  <c r="H448" i="1" s="1"/>
  <c r="G449" i="1"/>
  <c r="H449" i="1" s="1"/>
  <c r="G450" i="1"/>
  <c r="H450" i="1" s="1"/>
  <c r="G451" i="1"/>
  <c r="H451" i="1" s="1"/>
  <c r="G452" i="1"/>
  <c r="H452" i="1" s="1"/>
  <c r="G453" i="1"/>
  <c r="H453" i="1" s="1"/>
  <c r="G454" i="1"/>
  <c r="H454" i="1" s="1"/>
  <c r="G455" i="1"/>
  <c r="H455" i="1" s="1"/>
  <c r="G456" i="1"/>
  <c r="H456" i="1" s="1"/>
  <c r="G457" i="1"/>
  <c r="H457" i="1" s="1"/>
  <c r="G458" i="1"/>
  <c r="H458" i="1" s="1"/>
  <c r="G459" i="1"/>
  <c r="H459" i="1" s="1"/>
  <c r="G460" i="1"/>
  <c r="H460" i="1" s="1"/>
  <c r="G461" i="1"/>
  <c r="H461" i="1" s="1"/>
  <c r="G462" i="1"/>
  <c r="H462" i="1" s="1"/>
  <c r="G463" i="1"/>
  <c r="H463" i="1" s="1"/>
  <c r="G464" i="1"/>
  <c r="H464" i="1" s="1"/>
  <c r="G465" i="1"/>
  <c r="H465" i="1" s="1"/>
  <c r="G466" i="1"/>
  <c r="H466" i="1" s="1"/>
  <c r="G467" i="1"/>
  <c r="H467" i="1" s="1"/>
  <c r="G468" i="1"/>
  <c r="H468" i="1" s="1"/>
  <c r="G469" i="1"/>
  <c r="H469" i="1" s="1"/>
  <c r="G470" i="1"/>
  <c r="H470" i="1" s="1"/>
  <c r="G471" i="1"/>
  <c r="H471" i="1" s="1"/>
  <c r="G472" i="1"/>
  <c r="H472" i="1" s="1"/>
  <c r="G473" i="1"/>
  <c r="H473" i="1" s="1"/>
  <c r="G474" i="1"/>
  <c r="H474" i="1" s="1"/>
  <c r="G475" i="1"/>
  <c r="H475" i="1" s="1"/>
  <c r="G476" i="1"/>
  <c r="H476" i="1" s="1"/>
  <c r="G477" i="1"/>
  <c r="H477" i="1" s="1"/>
  <c r="G478" i="1"/>
  <c r="H478" i="1" s="1"/>
  <c r="G479" i="1"/>
  <c r="H479" i="1" s="1"/>
  <c r="G480" i="1"/>
  <c r="H480" i="1" s="1"/>
  <c r="G481" i="1"/>
  <c r="H481" i="1" s="1"/>
  <c r="G482" i="1"/>
  <c r="H482" i="1" s="1"/>
  <c r="G483" i="1"/>
  <c r="H483" i="1" s="1"/>
  <c r="G484" i="1"/>
  <c r="H484" i="1" s="1"/>
  <c r="G485" i="1"/>
  <c r="H485" i="1" s="1"/>
  <c r="G486" i="1"/>
  <c r="H486" i="1" s="1"/>
  <c r="G487" i="1"/>
  <c r="H487" i="1" s="1"/>
  <c r="G488" i="1"/>
  <c r="H488" i="1" s="1"/>
  <c r="G489" i="1"/>
  <c r="H489" i="1" s="1"/>
  <c r="G490" i="1"/>
  <c r="H490" i="1" s="1"/>
  <c r="G491" i="1"/>
  <c r="H491" i="1" s="1"/>
  <c r="G492" i="1"/>
  <c r="H492" i="1" s="1"/>
  <c r="G493" i="1"/>
  <c r="H493" i="1" s="1"/>
  <c r="G494" i="1"/>
  <c r="H494" i="1" s="1"/>
  <c r="G495" i="1"/>
  <c r="H495" i="1" s="1"/>
  <c r="G496" i="1"/>
  <c r="H496" i="1" s="1"/>
  <c r="G497" i="1"/>
  <c r="H497" i="1" s="1"/>
  <c r="G498" i="1"/>
  <c r="H498" i="1" s="1"/>
  <c r="G499" i="1"/>
  <c r="H499" i="1" s="1"/>
  <c r="G500" i="1"/>
  <c r="H500" i="1" s="1"/>
  <c r="G501" i="1"/>
  <c r="H501" i="1" s="1"/>
  <c r="G2" i="1"/>
  <c r="H2"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E2" i="1"/>
  <c r="D2" i="1"/>
  <c r="C2" i="1"/>
</calcChain>
</file>

<file path=xl/sharedStrings.xml><?xml version="1.0" encoding="utf-8"?>
<sst xmlns="http://schemas.openxmlformats.org/spreadsheetml/2006/main" count="4063" uniqueCount="1068">
  <si>
    <t>Order_ID</t>
  </si>
  <si>
    <t>Order_Date</t>
  </si>
  <si>
    <t>Order_Time</t>
  </si>
  <si>
    <t>Customer_ID</t>
  </si>
  <si>
    <t>City</t>
  </si>
  <si>
    <t>Area</t>
  </si>
  <si>
    <t>Product_Name</t>
  </si>
  <si>
    <t>Category</t>
  </si>
  <si>
    <t>Quantity</t>
  </si>
  <si>
    <t>Price_Per_Unit</t>
  </si>
  <si>
    <t>Total_Product_Value</t>
  </si>
  <si>
    <t>Discount_Applied</t>
  </si>
  <si>
    <t>Final_Payable_Amount</t>
  </si>
  <si>
    <t>Payment_Mode</t>
  </si>
  <si>
    <t>Delivery_Time_Minutes</t>
  </si>
  <si>
    <t>Delivery_Status</t>
  </si>
  <si>
    <t>Customer_Rating</t>
  </si>
  <si>
    <t>ORD1001</t>
  </si>
  <si>
    <t>C001</t>
  </si>
  <si>
    <t>Gachibowli</t>
  </si>
  <si>
    <t>Curd</t>
  </si>
  <si>
    <t>Dairy</t>
  </si>
  <si>
    <t>Wallet</t>
  </si>
  <si>
    <t>Delivered</t>
  </si>
  <si>
    <t>ORD1002</t>
  </si>
  <si>
    <t>C002</t>
  </si>
  <si>
    <t>Dwarka</t>
  </si>
  <si>
    <t>Banana</t>
  </si>
  <si>
    <t>Fruits</t>
  </si>
  <si>
    <t>ORD1003</t>
  </si>
  <si>
    <t>C003</t>
  </si>
  <si>
    <t>Bangalore</t>
  </si>
  <si>
    <t>Velachery</t>
  </si>
  <si>
    <t>Milk 1L</t>
  </si>
  <si>
    <t>COD</t>
  </si>
  <si>
    <t>Late</t>
  </si>
  <si>
    <t>ORD1004</t>
  </si>
  <si>
    <t>C004</t>
  </si>
  <si>
    <t>Pune</t>
  </si>
  <si>
    <t>Andheri</t>
  </si>
  <si>
    <t>Bread</t>
  </si>
  <si>
    <t>Bakery</t>
  </si>
  <si>
    <t>Card</t>
  </si>
  <si>
    <t>ORD1005</t>
  </si>
  <si>
    <t>C005</t>
  </si>
  <si>
    <t>Hinjewadi</t>
  </si>
  <si>
    <t>Apple</t>
  </si>
  <si>
    <t>ORD1006</t>
  </si>
  <si>
    <t>C006</t>
  </si>
  <si>
    <t>Delhi</t>
  </si>
  <si>
    <t>ORD1007</t>
  </si>
  <si>
    <t>C007</t>
  </si>
  <si>
    <t>Hyderabad</t>
  </si>
  <si>
    <t>ORD1008</t>
  </si>
  <si>
    <t>C008</t>
  </si>
  <si>
    <t>Paneer</t>
  </si>
  <si>
    <t>ORD1009</t>
  </si>
  <si>
    <t>C009</t>
  </si>
  <si>
    <t>Chennai</t>
  </si>
  <si>
    <t>Whitefield</t>
  </si>
  <si>
    <t>ORD1010</t>
  </si>
  <si>
    <t>C010</t>
  </si>
  <si>
    <t>ORD1011</t>
  </si>
  <si>
    <t>C011</t>
  </si>
  <si>
    <t>UPI</t>
  </si>
  <si>
    <t>ORD1012</t>
  </si>
  <si>
    <t>C012</t>
  </si>
  <si>
    <t>ORD1013</t>
  </si>
  <si>
    <t>C013</t>
  </si>
  <si>
    <t>Kukatpally</t>
  </si>
  <si>
    <t>ORD1014</t>
  </si>
  <si>
    <t>C014</t>
  </si>
  <si>
    <t>ORD1015</t>
  </si>
  <si>
    <t>C015</t>
  </si>
  <si>
    <t>ORD1016</t>
  </si>
  <si>
    <t>C016</t>
  </si>
  <si>
    <t>ORD1017</t>
  </si>
  <si>
    <t>C017</t>
  </si>
  <si>
    <t>Rohini</t>
  </si>
  <si>
    <t>Potato</t>
  </si>
  <si>
    <t>Vegetables</t>
  </si>
  <si>
    <t>ORD1018</t>
  </si>
  <si>
    <t>C018</t>
  </si>
  <si>
    <t>ORD1019</t>
  </si>
  <si>
    <t>C019</t>
  </si>
  <si>
    <t>ORD1020</t>
  </si>
  <si>
    <t>C020</t>
  </si>
  <si>
    <t>kolkata</t>
  </si>
  <si>
    <t>ORD1021</t>
  </si>
  <si>
    <t>C021</t>
  </si>
  <si>
    <t>Mumbai</t>
  </si>
  <si>
    <t>ORD1022</t>
  </si>
  <si>
    <t>C022</t>
  </si>
  <si>
    <t>Rice 5kg</t>
  </si>
  <si>
    <t>Grocery</t>
  </si>
  <si>
    <t>ORD1023</t>
  </si>
  <si>
    <t>C023</t>
  </si>
  <si>
    <t>ORD1024</t>
  </si>
  <si>
    <t>C024</t>
  </si>
  <si>
    <t>ORD1025</t>
  </si>
  <si>
    <t>C025</t>
  </si>
  <si>
    <t>ORD1026</t>
  </si>
  <si>
    <t>C026</t>
  </si>
  <si>
    <t>ORD1027</t>
  </si>
  <si>
    <t>C027</t>
  </si>
  <si>
    <t>Chips</t>
  </si>
  <si>
    <t>Snacks</t>
  </si>
  <si>
    <t>ORD1028</t>
  </si>
  <si>
    <t>C028</t>
  </si>
  <si>
    <t>ORD1029</t>
  </si>
  <si>
    <t>C029</t>
  </si>
  <si>
    <t>ORD1030</t>
  </si>
  <si>
    <t>C030</t>
  </si>
  <si>
    <t>ORD1031</t>
  </si>
  <si>
    <t>C031</t>
  </si>
  <si>
    <t>ORD1032</t>
  </si>
  <si>
    <t>C032</t>
  </si>
  <si>
    <t>ORD1033</t>
  </si>
  <si>
    <t>C033</t>
  </si>
  <si>
    <t>ORD1034</t>
  </si>
  <si>
    <t>C034</t>
  </si>
  <si>
    <t>ORD1035</t>
  </si>
  <si>
    <t>C035</t>
  </si>
  <si>
    <t>ORD1036</t>
  </si>
  <si>
    <t>C036</t>
  </si>
  <si>
    <t>ORD1037</t>
  </si>
  <si>
    <t>C037</t>
  </si>
  <si>
    <t>ORD1038</t>
  </si>
  <si>
    <t>C038</t>
  </si>
  <si>
    <t>ORD1039</t>
  </si>
  <si>
    <t>C039</t>
  </si>
  <si>
    <t>ORD1040</t>
  </si>
  <si>
    <t>C040</t>
  </si>
  <si>
    <t>ORD1041</t>
  </si>
  <si>
    <t>C041</t>
  </si>
  <si>
    <t>ORD1042</t>
  </si>
  <si>
    <t>C042</t>
  </si>
  <si>
    <t>ORD1043</t>
  </si>
  <si>
    <t>C043</t>
  </si>
  <si>
    <t>ORD1044</t>
  </si>
  <si>
    <t>C044</t>
  </si>
  <si>
    <t>ORD1045</t>
  </si>
  <si>
    <t>C045</t>
  </si>
  <si>
    <t>ORD1046</t>
  </si>
  <si>
    <t>C046</t>
  </si>
  <si>
    <t>ORD1047</t>
  </si>
  <si>
    <t>C047</t>
  </si>
  <si>
    <t>ORD1048</t>
  </si>
  <si>
    <t>C048</t>
  </si>
  <si>
    <t>ORD1049</t>
  </si>
  <si>
    <t>C049</t>
  </si>
  <si>
    <t>ORD1050</t>
  </si>
  <si>
    <t>C050</t>
  </si>
  <si>
    <t>ORD1051</t>
  </si>
  <si>
    <t>C051</t>
  </si>
  <si>
    <t>ORD1052</t>
  </si>
  <si>
    <t>C052</t>
  </si>
  <si>
    <t>ORD1053</t>
  </si>
  <si>
    <t>C053</t>
  </si>
  <si>
    <t>ORD1054</t>
  </si>
  <si>
    <t>C054</t>
  </si>
  <si>
    <t>ORD1055</t>
  </si>
  <si>
    <t>C055</t>
  </si>
  <si>
    <t>ORD1056</t>
  </si>
  <si>
    <t>C056</t>
  </si>
  <si>
    <t>ORD1057</t>
  </si>
  <si>
    <t>C057</t>
  </si>
  <si>
    <t>ORD1058</t>
  </si>
  <si>
    <t>C058</t>
  </si>
  <si>
    <t>ORD1059</t>
  </si>
  <si>
    <t>C059</t>
  </si>
  <si>
    <t>ORD1060</t>
  </si>
  <si>
    <t>C060</t>
  </si>
  <si>
    <t>ORD1061</t>
  </si>
  <si>
    <t>C061</t>
  </si>
  <si>
    <t>ORD1062</t>
  </si>
  <si>
    <t>C062</t>
  </si>
  <si>
    <t>ORD1063</t>
  </si>
  <si>
    <t>C063</t>
  </si>
  <si>
    <t>ORD1064</t>
  </si>
  <si>
    <t>C064</t>
  </si>
  <si>
    <t>ORD1065</t>
  </si>
  <si>
    <t>C065</t>
  </si>
  <si>
    <t>ORD1066</t>
  </si>
  <si>
    <t>C066</t>
  </si>
  <si>
    <t>ORD1067</t>
  </si>
  <si>
    <t>C067</t>
  </si>
  <si>
    <t>ORD1068</t>
  </si>
  <si>
    <t>C068</t>
  </si>
  <si>
    <t>ORD1069</t>
  </si>
  <si>
    <t>C069</t>
  </si>
  <si>
    <t>ORD1070</t>
  </si>
  <si>
    <t>C070</t>
  </si>
  <si>
    <t>ORD1071</t>
  </si>
  <si>
    <t>C071</t>
  </si>
  <si>
    <t>ORD1072</t>
  </si>
  <si>
    <t>C072</t>
  </si>
  <si>
    <t>ORD1073</t>
  </si>
  <si>
    <t>C073</t>
  </si>
  <si>
    <t>ORD1074</t>
  </si>
  <si>
    <t>C074</t>
  </si>
  <si>
    <t>ORD1075</t>
  </si>
  <si>
    <t>C075</t>
  </si>
  <si>
    <t>ORD1076</t>
  </si>
  <si>
    <t>C076</t>
  </si>
  <si>
    <t>ORD1077</t>
  </si>
  <si>
    <t>C077</t>
  </si>
  <si>
    <t>ORD1078</t>
  </si>
  <si>
    <t>C078</t>
  </si>
  <si>
    <t>ORD1079</t>
  </si>
  <si>
    <t>C079</t>
  </si>
  <si>
    <t>ORD1080</t>
  </si>
  <si>
    <t>C080</t>
  </si>
  <si>
    <t>ORD1081</t>
  </si>
  <si>
    <t>C081</t>
  </si>
  <si>
    <t>ORD1082</t>
  </si>
  <si>
    <t>C082</t>
  </si>
  <si>
    <t>ORD1083</t>
  </si>
  <si>
    <t>C083</t>
  </si>
  <si>
    <t>ORD1084</t>
  </si>
  <si>
    <t>C084</t>
  </si>
  <si>
    <t>ORD1085</t>
  </si>
  <si>
    <t>C085</t>
  </si>
  <si>
    <t>ORD1086</t>
  </si>
  <si>
    <t>C086</t>
  </si>
  <si>
    <t>ORD1087</t>
  </si>
  <si>
    <t>C087</t>
  </si>
  <si>
    <t>ORD1088</t>
  </si>
  <si>
    <t>C088</t>
  </si>
  <si>
    <t>ORD1089</t>
  </si>
  <si>
    <t>C089</t>
  </si>
  <si>
    <t>ORD1090</t>
  </si>
  <si>
    <t>C090</t>
  </si>
  <si>
    <t>ORD1091</t>
  </si>
  <si>
    <t>C091</t>
  </si>
  <si>
    <t>ORD1092</t>
  </si>
  <si>
    <t>C092</t>
  </si>
  <si>
    <t>ORD1093</t>
  </si>
  <si>
    <t>C093</t>
  </si>
  <si>
    <t>ORD1094</t>
  </si>
  <si>
    <t>C094</t>
  </si>
  <si>
    <t>ORD1095</t>
  </si>
  <si>
    <t>C095</t>
  </si>
  <si>
    <t>ORD1096</t>
  </si>
  <si>
    <t>C096</t>
  </si>
  <si>
    <t>ORD1097</t>
  </si>
  <si>
    <t>C097</t>
  </si>
  <si>
    <t>ORD1098</t>
  </si>
  <si>
    <t>C098</t>
  </si>
  <si>
    <t>ORD1099</t>
  </si>
  <si>
    <t>C099</t>
  </si>
  <si>
    <t>ORD1100</t>
  </si>
  <si>
    <t>C100</t>
  </si>
  <si>
    <t>ORD1101</t>
  </si>
  <si>
    <t>C101</t>
  </si>
  <si>
    <t>ORD1102</t>
  </si>
  <si>
    <t>C102</t>
  </si>
  <si>
    <t>ORD1103</t>
  </si>
  <si>
    <t>C103</t>
  </si>
  <si>
    <t>ORD1104</t>
  </si>
  <si>
    <t>C104</t>
  </si>
  <si>
    <t>ORD1105</t>
  </si>
  <si>
    <t>C105</t>
  </si>
  <si>
    <t>ORD1106</t>
  </si>
  <si>
    <t>C106</t>
  </si>
  <si>
    <t>ORD1107</t>
  </si>
  <si>
    <t>C107</t>
  </si>
  <si>
    <t>ORD1108</t>
  </si>
  <si>
    <t>C108</t>
  </si>
  <si>
    <t>ORD1109</t>
  </si>
  <si>
    <t>C109</t>
  </si>
  <si>
    <t>ORD1110</t>
  </si>
  <si>
    <t>C110</t>
  </si>
  <si>
    <t>ORD1111</t>
  </si>
  <si>
    <t>C111</t>
  </si>
  <si>
    <t>ORD1112</t>
  </si>
  <si>
    <t>C112</t>
  </si>
  <si>
    <t>ORD1113</t>
  </si>
  <si>
    <t>C113</t>
  </si>
  <si>
    <t>ORD1114</t>
  </si>
  <si>
    <t>C114</t>
  </si>
  <si>
    <t>ORD1115</t>
  </si>
  <si>
    <t>C115</t>
  </si>
  <si>
    <t>ORD1116</t>
  </si>
  <si>
    <t>C116</t>
  </si>
  <si>
    <t>ORD1117</t>
  </si>
  <si>
    <t>C117</t>
  </si>
  <si>
    <t>ORD1118</t>
  </si>
  <si>
    <t>C118</t>
  </si>
  <si>
    <t>ORD1119</t>
  </si>
  <si>
    <t>C119</t>
  </si>
  <si>
    <t>ORD1120</t>
  </si>
  <si>
    <t>C120</t>
  </si>
  <si>
    <t>ORD1121</t>
  </si>
  <si>
    <t>C121</t>
  </si>
  <si>
    <t>ORD1122</t>
  </si>
  <si>
    <t>C122</t>
  </si>
  <si>
    <t>ORD1123</t>
  </si>
  <si>
    <t>C123</t>
  </si>
  <si>
    <t>ORD1124</t>
  </si>
  <si>
    <t>C124</t>
  </si>
  <si>
    <t>ORD1125</t>
  </si>
  <si>
    <t>C125</t>
  </si>
  <si>
    <t>ORD1126</t>
  </si>
  <si>
    <t>C126</t>
  </si>
  <si>
    <t>ORD1127</t>
  </si>
  <si>
    <t>C127</t>
  </si>
  <si>
    <t>ORD1128</t>
  </si>
  <si>
    <t>C128</t>
  </si>
  <si>
    <t>ORD1129</t>
  </si>
  <si>
    <t>C129</t>
  </si>
  <si>
    <t>ORD1130</t>
  </si>
  <si>
    <t>C130</t>
  </si>
  <si>
    <t>ORD1131</t>
  </si>
  <si>
    <t>C131</t>
  </si>
  <si>
    <t>ORD1132</t>
  </si>
  <si>
    <t>C132</t>
  </si>
  <si>
    <t>ORD1133</t>
  </si>
  <si>
    <t>C133</t>
  </si>
  <si>
    <t>ORD1134</t>
  </si>
  <si>
    <t>C134</t>
  </si>
  <si>
    <t>ORD1135</t>
  </si>
  <si>
    <t>C135</t>
  </si>
  <si>
    <t>ORD1136</t>
  </si>
  <si>
    <t>C136</t>
  </si>
  <si>
    <t>ORD1137</t>
  </si>
  <si>
    <t>C137</t>
  </si>
  <si>
    <t>ORD1138</t>
  </si>
  <si>
    <t>C138</t>
  </si>
  <si>
    <t>ORD1139</t>
  </si>
  <si>
    <t>C139</t>
  </si>
  <si>
    <t>ORD1140</t>
  </si>
  <si>
    <t>C140</t>
  </si>
  <si>
    <t>ORD1141</t>
  </si>
  <si>
    <t>C141</t>
  </si>
  <si>
    <t>ORD1142</t>
  </si>
  <si>
    <t>C142</t>
  </si>
  <si>
    <t>ORD1143</t>
  </si>
  <si>
    <t>C143</t>
  </si>
  <si>
    <t>ORD1144</t>
  </si>
  <si>
    <t>C144</t>
  </si>
  <si>
    <t>ORD1145</t>
  </si>
  <si>
    <t>C145</t>
  </si>
  <si>
    <t>ORD1146</t>
  </si>
  <si>
    <t>C146</t>
  </si>
  <si>
    <t>ORD1147</t>
  </si>
  <si>
    <t>C147</t>
  </si>
  <si>
    <t>ORD1148</t>
  </si>
  <si>
    <t>C148</t>
  </si>
  <si>
    <t>ORD1149</t>
  </si>
  <si>
    <t>C149</t>
  </si>
  <si>
    <t>ORD1150</t>
  </si>
  <si>
    <t>C150</t>
  </si>
  <si>
    <t>ORD1151</t>
  </si>
  <si>
    <t>C151</t>
  </si>
  <si>
    <t>ORD1152</t>
  </si>
  <si>
    <t>C152</t>
  </si>
  <si>
    <t>ORD1153</t>
  </si>
  <si>
    <t>C153</t>
  </si>
  <si>
    <t>ORD1154</t>
  </si>
  <si>
    <t>C154</t>
  </si>
  <si>
    <t>ORD1155</t>
  </si>
  <si>
    <t>C155</t>
  </si>
  <si>
    <t>ORD1156</t>
  </si>
  <si>
    <t>C156</t>
  </si>
  <si>
    <t>ORD1157</t>
  </si>
  <si>
    <t>C157</t>
  </si>
  <si>
    <t>ORD1158</t>
  </si>
  <si>
    <t>C158</t>
  </si>
  <si>
    <t>ORD1159</t>
  </si>
  <si>
    <t>C159</t>
  </si>
  <si>
    <t>ORD1160</t>
  </si>
  <si>
    <t>C160</t>
  </si>
  <si>
    <t>ORD1161</t>
  </si>
  <si>
    <t>C161</t>
  </si>
  <si>
    <t>ORD1162</t>
  </si>
  <si>
    <t>C162</t>
  </si>
  <si>
    <t>ORD1163</t>
  </si>
  <si>
    <t>C163</t>
  </si>
  <si>
    <t>ORD1164</t>
  </si>
  <si>
    <t>C164</t>
  </si>
  <si>
    <t>ORD1165</t>
  </si>
  <si>
    <t>C165</t>
  </si>
  <si>
    <t>ORD1166</t>
  </si>
  <si>
    <t>C166</t>
  </si>
  <si>
    <t>ORD1167</t>
  </si>
  <si>
    <t>C167</t>
  </si>
  <si>
    <t>ORD1168</t>
  </si>
  <si>
    <t>C168</t>
  </si>
  <si>
    <t>ORD1169</t>
  </si>
  <si>
    <t>C169</t>
  </si>
  <si>
    <t>ORD1170</t>
  </si>
  <si>
    <t>C170</t>
  </si>
  <si>
    <t>ORD1171</t>
  </si>
  <si>
    <t>C171</t>
  </si>
  <si>
    <t>ORD1172</t>
  </si>
  <si>
    <t>C172</t>
  </si>
  <si>
    <t>ORD1173</t>
  </si>
  <si>
    <t>C173</t>
  </si>
  <si>
    <t>ORD1174</t>
  </si>
  <si>
    <t>C174</t>
  </si>
  <si>
    <t>ORD1175</t>
  </si>
  <si>
    <t>C175</t>
  </si>
  <si>
    <t>ORD1176</t>
  </si>
  <si>
    <t>C176</t>
  </si>
  <si>
    <t>ORD1177</t>
  </si>
  <si>
    <t>C177</t>
  </si>
  <si>
    <t>ORD1178</t>
  </si>
  <si>
    <t>C178</t>
  </si>
  <si>
    <t>ORD1179</t>
  </si>
  <si>
    <t>C179</t>
  </si>
  <si>
    <t>ORD1180</t>
  </si>
  <si>
    <t>C180</t>
  </si>
  <si>
    <t>ORD1181</t>
  </si>
  <si>
    <t>C181</t>
  </si>
  <si>
    <t>ORD1182</t>
  </si>
  <si>
    <t>C182</t>
  </si>
  <si>
    <t>ORD1183</t>
  </si>
  <si>
    <t>C183</t>
  </si>
  <si>
    <t>ORD1184</t>
  </si>
  <si>
    <t>C184</t>
  </si>
  <si>
    <t>ORD1185</t>
  </si>
  <si>
    <t>C185</t>
  </si>
  <si>
    <t>ORD1186</t>
  </si>
  <si>
    <t>C186</t>
  </si>
  <si>
    <t>ORD1187</t>
  </si>
  <si>
    <t>C187</t>
  </si>
  <si>
    <t>ORD1188</t>
  </si>
  <si>
    <t>C188</t>
  </si>
  <si>
    <t>ORD1189</t>
  </si>
  <si>
    <t>C189</t>
  </si>
  <si>
    <t>ORD1190</t>
  </si>
  <si>
    <t>C190</t>
  </si>
  <si>
    <t>ORD1191</t>
  </si>
  <si>
    <t>C191</t>
  </si>
  <si>
    <t>ORD1192</t>
  </si>
  <si>
    <t>C192</t>
  </si>
  <si>
    <t>ORD1193</t>
  </si>
  <si>
    <t>C193</t>
  </si>
  <si>
    <t>ORD1194</t>
  </si>
  <si>
    <t>C194</t>
  </si>
  <si>
    <t>ORD1195</t>
  </si>
  <si>
    <t>C195</t>
  </si>
  <si>
    <t>ORD1196</t>
  </si>
  <si>
    <t>C196</t>
  </si>
  <si>
    <t>ORD1197</t>
  </si>
  <si>
    <t>C197</t>
  </si>
  <si>
    <t>ORD1198</t>
  </si>
  <si>
    <t>C198</t>
  </si>
  <si>
    <t>ORD1199</t>
  </si>
  <si>
    <t>C199</t>
  </si>
  <si>
    <t>ORD1200</t>
  </si>
  <si>
    <t>C200</t>
  </si>
  <si>
    <t>ORD1201</t>
  </si>
  <si>
    <t>C201</t>
  </si>
  <si>
    <t>ORD1202</t>
  </si>
  <si>
    <t>C202</t>
  </si>
  <si>
    <t>ORD1203</t>
  </si>
  <si>
    <t>C203</t>
  </si>
  <si>
    <t>ORD1204</t>
  </si>
  <si>
    <t>C204</t>
  </si>
  <si>
    <t>ORD1205</t>
  </si>
  <si>
    <t>C205</t>
  </si>
  <si>
    <t>ORD1206</t>
  </si>
  <si>
    <t>C206</t>
  </si>
  <si>
    <t>ORD1207</t>
  </si>
  <si>
    <t>C207</t>
  </si>
  <si>
    <t>ORD1208</t>
  </si>
  <si>
    <t>C208</t>
  </si>
  <si>
    <t>ORD1209</t>
  </si>
  <si>
    <t>C209</t>
  </si>
  <si>
    <t>ORD1210</t>
  </si>
  <si>
    <t>C210</t>
  </si>
  <si>
    <t>ORD1211</t>
  </si>
  <si>
    <t>C211</t>
  </si>
  <si>
    <t>ORD1212</t>
  </si>
  <si>
    <t>C212</t>
  </si>
  <si>
    <t>ORD1213</t>
  </si>
  <si>
    <t>C213</t>
  </si>
  <si>
    <t>ORD1214</t>
  </si>
  <si>
    <t>C214</t>
  </si>
  <si>
    <t>ORD1215</t>
  </si>
  <si>
    <t>C215</t>
  </si>
  <si>
    <t>ORD1216</t>
  </si>
  <si>
    <t>C216</t>
  </si>
  <si>
    <t>ORD1217</t>
  </si>
  <si>
    <t>C217</t>
  </si>
  <si>
    <t>ORD1218</t>
  </si>
  <si>
    <t>C218</t>
  </si>
  <si>
    <t>ORD1219</t>
  </si>
  <si>
    <t>C219</t>
  </si>
  <si>
    <t>ORD1220</t>
  </si>
  <si>
    <t>C220</t>
  </si>
  <si>
    <t>ORD1221</t>
  </si>
  <si>
    <t>C221</t>
  </si>
  <si>
    <t>ORD1222</t>
  </si>
  <si>
    <t>C222</t>
  </si>
  <si>
    <t>ORD1223</t>
  </si>
  <si>
    <t>C223</t>
  </si>
  <si>
    <t>ORD1224</t>
  </si>
  <si>
    <t>C224</t>
  </si>
  <si>
    <t>ORD1225</t>
  </si>
  <si>
    <t>C225</t>
  </si>
  <si>
    <t>ORD1226</t>
  </si>
  <si>
    <t>C226</t>
  </si>
  <si>
    <t>ORD1227</t>
  </si>
  <si>
    <t>C227</t>
  </si>
  <si>
    <t>ORD1228</t>
  </si>
  <si>
    <t>C228</t>
  </si>
  <si>
    <t>ORD1229</t>
  </si>
  <si>
    <t>C229</t>
  </si>
  <si>
    <t>ORD1230</t>
  </si>
  <si>
    <t>C230</t>
  </si>
  <si>
    <t>ORD1231</t>
  </si>
  <si>
    <t>C231</t>
  </si>
  <si>
    <t>ORD1232</t>
  </si>
  <si>
    <t>C232</t>
  </si>
  <si>
    <t>ORD1233</t>
  </si>
  <si>
    <t>C233</t>
  </si>
  <si>
    <t>ORD1234</t>
  </si>
  <si>
    <t>C234</t>
  </si>
  <si>
    <t>ORD1235</t>
  </si>
  <si>
    <t>C235</t>
  </si>
  <si>
    <t>ORD1236</t>
  </si>
  <si>
    <t>C236</t>
  </si>
  <si>
    <t>ORD1237</t>
  </si>
  <si>
    <t>C237</t>
  </si>
  <si>
    <t>ORD1238</t>
  </si>
  <si>
    <t>C238</t>
  </si>
  <si>
    <t>ORD1239</t>
  </si>
  <si>
    <t>C239</t>
  </si>
  <si>
    <t>ORD1240</t>
  </si>
  <si>
    <t>C240</t>
  </si>
  <si>
    <t>ORD1241</t>
  </si>
  <si>
    <t>C241</t>
  </si>
  <si>
    <t>ORD1242</t>
  </si>
  <si>
    <t>C242</t>
  </si>
  <si>
    <t>ORD1243</t>
  </si>
  <si>
    <t>C243</t>
  </si>
  <si>
    <t>ORD1244</t>
  </si>
  <si>
    <t>C244</t>
  </si>
  <si>
    <t>ORD1245</t>
  </si>
  <si>
    <t>C245</t>
  </si>
  <si>
    <t>ORD1246</t>
  </si>
  <si>
    <t>C246</t>
  </si>
  <si>
    <t>ORD1247</t>
  </si>
  <si>
    <t>C247</t>
  </si>
  <si>
    <t>ORD1248</t>
  </si>
  <si>
    <t>C248</t>
  </si>
  <si>
    <t>ORD1249</t>
  </si>
  <si>
    <t>C249</t>
  </si>
  <si>
    <t>ORD1250</t>
  </si>
  <si>
    <t>C250</t>
  </si>
  <si>
    <t>ORD1251</t>
  </si>
  <si>
    <t>C251</t>
  </si>
  <si>
    <t>ORD1252</t>
  </si>
  <si>
    <t>C252</t>
  </si>
  <si>
    <t>ORD1253</t>
  </si>
  <si>
    <t>C253</t>
  </si>
  <si>
    <t>ORD1254</t>
  </si>
  <si>
    <t>C254</t>
  </si>
  <si>
    <t>ORD1255</t>
  </si>
  <si>
    <t>C255</t>
  </si>
  <si>
    <t>ORD1256</t>
  </si>
  <si>
    <t>C256</t>
  </si>
  <si>
    <t>ORD1257</t>
  </si>
  <si>
    <t>C257</t>
  </si>
  <si>
    <t>ORD1258</t>
  </si>
  <si>
    <t>C258</t>
  </si>
  <si>
    <t>ORD1259</t>
  </si>
  <si>
    <t>C259</t>
  </si>
  <si>
    <t>ORD1260</t>
  </si>
  <si>
    <t>C260</t>
  </si>
  <si>
    <t>ORD1261</t>
  </si>
  <si>
    <t>C261</t>
  </si>
  <si>
    <t>ORD1262</t>
  </si>
  <si>
    <t>C262</t>
  </si>
  <si>
    <t>ORD1263</t>
  </si>
  <si>
    <t>C263</t>
  </si>
  <si>
    <t>ORD1264</t>
  </si>
  <si>
    <t>C264</t>
  </si>
  <si>
    <t>ORD1265</t>
  </si>
  <si>
    <t>C265</t>
  </si>
  <si>
    <t>ORD1266</t>
  </si>
  <si>
    <t>C266</t>
  </si>
  <si>
    <t>ORD1267</t>
  </si>
  <si>
    <t>C267</t>
  </si>
  <si>
    <t>ORD1268</t>
  </si>
  <si>
    <t>C268</t>
  </si>
  <si>
    <t>ORD1269</t>
  </si>
  <si>
    <t>C269</t>
  </si>
  <si>
    <t>ORD1270</t>
  </si>
  <si>
    <t>C270</t>
  </si>
  <si>
    <t>ORD1271</t>
  </si>
  <si>
    <t>C271</t>
  </si>
  <si>
    <t>ORD1272</t>
  </si>
  <si>
    <t>C272</t>
  </si>
  <si>
    <t>ORD1273</t>
  </si>
  <si>
    <t>C273</t>
  </si>
  <si>
    <t>ORD1274</t>
  </si>
  <si>
    <t>C274</t>
  </si>
  <si>
    <t>ORD1275</t>
  </si>
  <si>
    <t>C275</t>
  </si>
  <si>
    <t>ORD1276</t>
  </si>
  <si>
    <t>C276</t>
  </si>
  <si>
    <t>ORD1277</t>
  </si>
  <si>
    <t>C277</t>
  </si>
  <si>
    <t>ORD1278</t>
  </si>
  <si>
    <t>C278</t>
  </si>
  <si>
    <t>ORD1279</t>
  </si>
  <si>
    <t>C279</t>
  </si>
  <si>
    <t>ORD1280</t>
  </si>
  <si>
    <t>C280</t>
  </si>
  <si>
    <t>ORD1281</t>
  </si>
  <si>
    <t>C281</t>
  </si>
  <si>
    <t>ORD1282</t>
  </si>
  <si>
    <t>C282</t>
  </si>
  <si>
    <t>ORD1283</t>
  </si>
  <si>
    <t>C283</t>
  </si>
  <si>
    <t>ORD1284</t>
  </si>
  <si>
    <t>C284</t>
  </si>
  <si>
    <t>ORD1285</t>
  </si>
  <si>
    <t>C285</t>
  </si>
  <si>
    <t>ORD1286</t>
  </si>
  <si>
    <t>C286</t>
  </si>
  <si>
    <t>ORD1287</t>
  </si>
  <si>
    <t>C287</t>
  </si>
  <si>
    <t>ORD1288</t>
  </si>
  <si>
    <t>C288</t>
  </si>
  <si>
    <t>ORD1289</t>
  </si>
  <si>
    <t>C289</t>
  </si>
  <si>
    <t>ORD1290</t>
  </si>
  <si>
    <t>C290</t>
  </si>
  <si>
    <t>ORD1291</t>
  </si>
  <si>
    <t>C291</t>
  </si>
  <si>
    <t>ORD1292</t>
  </si>
  <si>
    <t>C292</t>
  </si>
  <si>
    <t>ORD1293</t>
  </si>
  <si>
    <t>C293</t>
  </si>
  <si>
    <t>ORD1294</t>
  </si>
  <si>
    <t>C294</t>
  </si>
  <si>
    <t>ORD1295</t>
  </si>
  <si>
    <t>C295</t>
  </si>
  <si>
    <t>ORD1296</t>
  </si>
  <si>
    <t>C296</t>
  </si>
  <si>
    <t>ORD1297</t>
  </si>
  <si>
    <t>C297</t>
  </si>
  <si>
    <t>ORD1298</t>
  </si>
  <si>
    <t>C298</t>
  </si>
  <si>
    <t>ORD1299</t>
  </si>
  <si>
    <t>C299</t>
  </si>
  <si>
    <t>ORD1300</t>
  </si>
  <si>
    <t>C300</t>
  </si>
  <si>
    <t>ORD1301</t>
  </si>
  <si>
    <t>C301</t>
  </si>
  <si>
    <t>ORD1302</t>
  </si>
  <si>
    <t>C302</t>
  </si>
  <si>
    <t>ORD1303</t>
  </si>
  <si>
    <t>C303</t>
  </si>
  <si>
    <t>ORD1304</t>
  </si>
  <si>
    <t>C304</t>
  </si>
  <si>
    <t>ORD1305</t>
  </si>
  <si>
    <t>C305</t>
  </si>
  <si>
    <t>ORD1306</t>
  </si>
  <si>
    <t>C306</t>
  </si>
  <si>
    <t>ORD1307</t>
  </si>
  <si>
    <t>C307</t>
  </si>
  <si>
    <t>ORD1308</t>
  </si>
  <si>
    <t>C308</t>
  </si>
  <si>
    <t>ORD1309</t>
  </si>
  <si>
    <t>C309</t>
  </si>
  <si>
    <t>ORD1310</t>
  </si>
  <si>
    <t>C310</t>
  </si>
  <si>
    <t>ORD1311</t>
  </si>
  <si>
    <t>C311</t>
  </si>
  <si>
    <t>ORD1312</t>
  </si>
  <si>
    <t>C312</t>
  </si>
  <si>
    <t>ORD1313</t>
  </si>
  <si>
    <t>C313</t>
  </si>
  <si>
    <t>ORD1314</t>
  </si>
  <si>
    <t>C314</t>
  </si>
  <si>
    <t>ORD1315</t>
  </si>
  <si>
    <t>C315</t>
  </si>
  <si>
    <t>ORD1316</t>
  </si>
  <si>
    <t>C316</t>
  </si>
  <si>
    <t>ORD1317</t>
  </si>
  <si>
    <t>C317</t>
  </si>
  <si>
    <t>ORD1318</t>
  </si>
  <si>
    <t>C318</t>
  </si>
  <si>
    <t>ORD1319</t>
  </si>
  <si>
    <t>C319</t>
  </si>
  <si>
    <t>ORD1320</t>
  </si>
  <si>
    <t>C320</t>
  </si>
  <si>
    <t>ORD1321</t>
  </si>
  <si>
    <t>C321</t>
  </si>
  <si>
    <t>ORD1322</t>
  </si>
  <si>
    <t>C322</t>
  </si>
  <si>
    <t>ORD1323</t>
  </si>
  <si>
    <t>C323</t>
  </si>
  <si>
    <t>ORD1324</t>
  </si>
  <si>
    <t>C324</t>
  </si>
  <si>
    <t>ORD1325</t>
  </si>
  <si>
    <t>C325</t>
  </si>
  <si>
    <t>ORD1326</t>
  </si>
  <si>
    <t>C326</t>
  </si>
  <si>
    <t>ORD1327</t>
  </si>
  <si>
    <t>C327</t>
  </si>
  <si>
    <t>ORD1328</t>
  </si>
  <si>
    <t>C328</t>
  </si>
  <si>
    <t>ORD1329</t>
  </si>
  <si>
    <t>C329</t>
  </si>
  <si>
    <t>ORD1330</t>
  </si>
  <si>
    <t>C330</t>
  </si>
  <si>
    <t>ORD1331</t>
  </si>
  <si>
    <t>C331</t>
  </si>
  <si>
    <t>ORD1332</t>
  </si>
  <si>
    <t>C332</t>
  </si>
  <si>
    <t>ORD1333</t>
  </si>
  <si>
    <t>C333</t>
  </si>
  <si>
    <t>ORD1334</t>
  </si>
  <si>
    <t>C334</t>
  </si>
  <si>
    <t>ORD1335</t>
  </si>
  <si>
    <t>C335</t>
  </si>
  <si>
    <t>ORD1336</t>
  </si>
  <si>
    <t>C336</t>
  </si>
  <si>
    <t>ORD1337</t>
  </si>
  <si>
    <t>C337</t>
  </si>
  <si>
    <t>ORD1338</t>
  </si>
  <si>
    <t>C338</t>
  </si>
  <si>
    <t>ORD1339</t>
  </si>
  <si>
    <t>C339</t>
  </si>
  <si>
    <t>ORD1340</t>
  </si>
  <si>
    <t>C340</t>
  </si>
  <si>
    <t>ORD1341</t>
  </si>
  <si>
    <t>C341</t>
  </si>
  <si>
    <t>ORD1342</t>
  </si>
  <si>
    <t>C342</t>
  </si>
  <si>
    <t>ORD1343</t>
  </si>
  <si>
    <t>C343</t>
  </si>
  <si>
    <t>ORD1344</t>
  </si>
  <si>
    <t>C344</t>
  </si>
  <si>
    <t>ORD1345</t>
  </si>
  <si>
    <t>C345</t>
  </si>
  <si>
    <t>ORD1346</t>
  </si>
  <si>
    <t>C346</t>
  </si>
  <si>
    <t>ORD1347</t>
  </si>
  <si>
    <t>C347</t>
  </si>
  <si>
    <t>ORD1348</t>
  </si>
  <si>
    <t>C348</t>
  </si>
  <si>
    <t>ORD1349</t>
  </si>
  <si>
    <t>C349</t>
  </si>
  <si>
    <t>ORD1350</t>
  </si>
  <si>
    <t>C350</t>
  </si>
  <si>
    <t>ORD1351</t>
  </si>
  <si>
    <t>C351</t>
  </si>
  <si>
    <t>ORD1352</t>
  </si>
  <si>
    <t>C352</t>
  </si>
  <si>
    <t>ORD1353</t>
  </si>
  <si>
    <t>C353</t>
  </si>
  <si>
    <t>ORD1354</t>
  </si>
  <si>
    <t>C354</t>
  </si>
  <si>
    <t>ORD1355</t>
  </si>
  <si>
    <t>C355</t>
  </si>
  <si>
    <t>ORD1356</t>
  </si>
  <si>
    <t>C356</t>
  </si>
  <si>
    <t>ORD1357</t>
  </si>
  <si>
    <t>C357</t>
  </si>
  <si>
    <t>ORD1358</t>
  </si>
  <si>
    <t>C358</t>
  </si>
  <si>
    <t>ORD1359</t>
  </si>
  <si>
    <t>C359</t>
  </si>
  <si>
    <t>ORD1360</t>
  </si>
  <si>
    <t>C360</t>
  </si>
  <si>
    <t>ORD1361</t>
  </si>
  <si>
    <t>C361</t>
  </si>
  <si>
    <t>ORD1362</t>
  </si>
  <si>
    <t>C362</t>
  </si>
  <si>
    <t>ORD1363</t>
  </si>
  <si>
    <t>C363</t>
  </si>
  <si>
    <t>ORD1364</t>
  </si>
  <si>
    <t>C364</t>
  </si>
  <si>
    <t>ORD1365</t>
  </si>
  <si>
    <t>C365</t>
  </si>
  <si>
    <t>ORD1366</t>
  </si>
  <si>
    <t>C366</t>
  </si>
  <si>
    <t>ORD1367</t>
  </si>
  <si>
    <t>C367</t>
  </si>
  <si>
    <t>ORD1368</t>
  </si>
  <si>
    <t>C368</t>
  </si>
  <si>
    <t>ORD1369</t>
  </si>
  <si>
    <t>C369</t>
  </si>
  <si>
    <t>ORD1370</t>
  </si>
  <si>
    <t>C370</t>
  </si>
  <si>
    <t>ORD1371</t>
  </si>
  <si>
    <t>C371</t>
  </si>
  <si>
    <t>ORD1372</t>
  </si>
  <si>
    <t>C372</t>
  </si>
  <si>
    <t>ORD1373</t>
  </si>
  <si>
    <t>C373</t>
  </si>
  <si>
    <t>ORD1374</t>
  </si>
  <si>
    <t>C374</t>
  </si>
  <si>
    <t>ORD1375</t>
  </si>
  <si>
    <t>C375</t>
  </si>
  <si>
    <t>ORD1376</t>
  </si>
  <si>
    <t>C376</t>
  </si>
  <si>
    <t>ORD1377</t>
  </si>
  <si>
    <t>C377</t>
  </si>
  <si>
    <t>ORD1378</t>
  </si>
  <si>
    <t>C378</t>
  </si>
  <si>
    <t>ORD1379</t>
  </si>
  <si>
    <t>C379</t>
  </si>
  <si>
    <t>ORD1380</t>
  </si>
  <si>
    <t>C380</t>
  </si>
  <si>
    <t>ORD1381</t>
  </si>
  <si>
    <t>C381</t>
  </si>
  <si>
    <t>ORD1382</t>
  </si>
  <si>
    <t>C382</t>
  </si>
  <si>
    <t>ORD1383</t>
  </si>
  <si>
    <t>C383</t>
  </si>
  <si>
    <t>ORD1384</t>
  </si>
  <si>
    <t>C384</t>
  </si>
  <si>
    <t>ORD1385</t>
  </si>
  <si>
    <t>C385</t>
  </si>
  <si>
    <t>ORD1386</t>
  </si>
  <si>
    <t>C386</t>
  </si>
  <si>
    <t>ORD1387</t>
  </si>
  <si>
    <t>C387</t>
  </si>
  <si>
    <t>ORD1388</t>
  </si>
  <si>
    <t>C388</t>
  </si>
  <si>
    <t>ORD1389</t>
  </si>
  <si>
    <t>C389</t>
  </si>
  <si>
    <t>ORD1390</t>
  </si>
  <si>
    <t>C390</t>
  </si>
  <si>
    <t>ORD1391</t>
  </si>
  <si>
    <t>C391</t>
  </si>
  <si>
    <t>ORD1392</t>
  </si>
  <si>
    <t>C392</t>
  </si>
  <si>
    <t>ORD1393</t>
  </si>
  <si>
    <t>C393</t>
  </si>
  <si>
    <t>ORD1394</t>
  </si>
  <si>
    <t>C394</t>
  </si>
  <si>
    <t>ORD1395</t>
  </si>
  <si>
    <t>C395</t>
  </si>
  <si>
    <t>ORD1396</t>
  </si>
  <si>
    <t>C396</t>
  </si>
  <si>
    <t>ORD1397</t>
  </si>
  <si>
    <t>C397</t>
  </si>
  <si>
    <t>ORD1398</t>
  </si>
  <si>
    <t>C398</t>
  </si>
  <si>
    <t>ORD1399</t>
  </si>
  <si>
    <t>C399</t>
  </si>
  <si>
    <t>ORD1400</t>
  </si>
  <si>
    <t>C400</t>
  </si>
  <si>
    <t>ORD1401</t>
  </si>
  <si>
    <t>C401</t>
  </si>
  <si>
    <t>ORD1402</t>
  </si>
  <si>
    <t>C402</t>
  </si>
  <si>
    <t>ORD1403</t>
  </si>
  <si>
    <t>C403</t>
  </si>
  <si>
    <t>ORD1404</t>
  </si>
  <si>
    <t>C404</t>
  </si>
  <si>
    <t>ORD1405</t>
  </si>
  <si>
    <t>C405</t>
  </si>
  <si>
    <t>ORD1406</t>
  </si>
  <si>
    <t>C406</t>
  </si>
  <si>
    <t>ORD1407</t>
  </si>
  <si>
    <t>C407</t>
  </si>
  <si>
    <t>ORD1408</t>
  </si>
  <si>
    <t>C408</t>
  </si>
  <si>
    <t>ORD1409</t>
  </si>
  <si>
    <t>C409</t>
  </si>
  <si>
    <t>ORD1410</t>
  </si>
  <si>
    <t>C410</t>
  </si>
  <si>
    <t>ORD1411</t>
  </si>
  <si>
    <t>C411</t>
  </si>
  <si>
    <t>ORD1412</t>
  </si>
  <si>
    <t>C412</t>
  </si>
  <si>
    <t>ORD1413</t>
  </si>
  <si>
    <t>C413</t>
  </si>
  <si>
    <t>ORD1414</t>
  </si>
  <si>
    <t>C414</t>
  </si>
  <si>
    <t>ORD1415</t>
  </si>
  <si>
    <t>C415</t>
  </si>
  <si>
    <t>ORD1416</t>
  </si>
  <si>
    <t>C416</t>
  </si>
  <si>
    <t>ORD1417</t>
  </si>
  <si>
    <t>C417</t>
  </si>
  <si>
    <t>ORD1418</t>
  </si>
  <si>
    <t>C418</t>
  </si>
  <si>
    <t>ORD1419</t>
  </si>
  <si>
    <t>C419</t>
  </si>
  <si>
    <t>ORD1420</t>
  </si>
  <si>
    <t>C420</t>
  </si>
  <si>
    <t>ORD1421</t>
  </si>
  <si>
    <t>C421</t>
  </si>
  <si>
    <t>ORD1422</t>
  </si>
  <si>
    <t>C422</t>
  </si>
  <si>
    <t>ORD1423</t>
  </si>
  <si>
    <t>C423</t>
  </si>
  <si>
    <t>ORD1424</t>
  </si>
  <si>
    <t>C424</t>
  </si>
  <si>
    <t>ORD1425</t>
  </si>
  <si>
    <t>C425</t>
  </si>
  <si>
    <t>ORD1426</t>
  </si>
  <si>
    <t>C426</t>
  </si>
  <si>
    <t>ORD1427</t>
  </si>
  <si>
    <t>C427</t>
  </si>
  <si>
    <t>ORD1428</t>
  </si>
  <si>
    <t>C428</t>
  </si>
  <si>
    <t>ORD1429</t>
  </si>
  <si>
    <t>C429</t>
  </si>
  <si>
    <t>ORD1430</t>
  </si>
  <si>
    <t>C430</t>
  </si>
  <si>
    <t>ORD1431</t>
  </si>
  <si>
    <t>C431</t>
  </si>
  <si>
    <t>ORD1432</t>
  </si>
  <si>
    <t>C432</t>
  </si>
  <si>
    <t>ORD1433</t>
  </si>
  <si>
    <t>C433</t>
  </si>
  <si>
    <t>ORD1434</t>
  </si>
  <si>
    <t>C434</t>
  </si>
  <si>
    <t>ORD1435</t>
  </si>
  <si>
    <t>C435</t>
  </si>
  <si>
    <t>ORD1436</t>
  </si>
  <si>
    <t>C436</t>
  </si>
  <si>
    <t>ORD1437</t>
  </si>
  <si>
    <t>C437</t>
  </si>
  <si>
    <t>ORD1438</t>
  </si>
  <si>
    <t>C438</t>
  </si>
  <si>
    <t>ORD1439</t>
  </si>
  <si>
    <t>C439</t>
  </si>
  <si>
    <t>ORD1440</t>
  </si>
  <si>
    <t>C440</t>
  </si>
  <si>
    <t>ORD1441</t>
  </si>
  <si>
    <t>C441</t>
  </si>
  <si>
    <t>ORD1442</t>
  </si>
  <si>
    <t>C442</t>
  </si>
  <si>
    <t>ORD1443</t>
  </si>
  <si>
    <t>C443</t>
  </si>
  <si>
    <t>ORD1444</t>
  </si>
  <si>
    <t>C444</t>
  </si>
  <si>
    <t>ORD1445</t>
  </si>
  <si>
    <t>C445</t>
  </si>
  <si>
    <t>ORD1446</t>
  </si>
  <si>
    <t>C446</t>
  </si>
  <si>
    <t>ORD1447</t>
  </si>
  <si>
    <t>C447</t>
  </si>
  <si>
    <t>ORD1448</t>
  </si>
  <si>
    <t>C448</t>
  </si>
  <si>
    <t>ORD1449</t>
  </si>
  <si>
    <t>C449</t>
  </si>
  <si>
    <t>ORD1450</t>
  </si>
  <si>
    <t>C450</t>
  </si>
  <si>
    <t>ORD1451</t>
  </si>
  <si>
    <t>C451</t>
  </si>
  <si>
    <t>ORD1452</t>
  </si>
  <si>
    <t>C452</t>
  </si>
  <si>
    <t>ORD1453</t>
  </si>
  <si>
    <t>C453</t>
  </si>
  <si>
    <t>ORD1454</t>
  </si>
  <si>
    <t>C454</t>
  </si>
  <si>
    <t>ORD1455</t>
  </si>
  <si>
    <t>C455</t>
  </si>
  <si>
    <t>ORD1456</t>
  </si>
  <si>
    <t>C456</t>
  </si>
  <si>
    <t>ORD1457</t>
  </si>
  <si>
    <t>C457</t>
  </si>
  <si>
    <t>ORD1458</t>
  </si>
  <si>
    <t>C458</t>
  </si>
  <si>
    <t>ORD1459</t>
  </si>
  <si>
    <t>C459</t>
  </si>
  <si>
    <t>ORD1460</t>
  </si>
  <si>
    <t>C460</t>
  </si>
  <si>
    <t>ORD1461</t>
  </si>
  <si>
    <t>C461</t>
  </si>
  <si>
    <t>ORD1462</t>
  </si>
  <si>
    <t>C462</t>
  </si>
  <si>
    <t>ORD1463</t>
  </si>
  <si>
    <t>C463</t>
  </si>
  <si>
    <t>ORD1464</t>
  </si>
  <si>
    <t>C464</t>
  </si>
  <si>
    <t>ORD1465</t>
  </si>
  <si>
    <t>C465</t>
  </si>
  <si>
    <t>ORD1466</t>
  </si>
  <si>
    <t>C466</t>
  </si>
  <si>
    <t>ORD1467</t>
  </si>
  <si>
    <t>C467</t>
  </si>
  <si>
    <t>ORD1468</t>
  </si>
  <si>
    <t>C468</t>
  </si>
  <si>
    <t>ORD1469</t>
  </si>
  <si>
    <t>C469</t>
  </si>
  <si>
    <t>ORD1470</t>
  </si>
  <si>
    <t>C470</t>
  </si>
  <si>
    <t>ORD1471</t>
  </si>
  <si>
    <t>C471</t>
  </si>
  <si>
    <t>ORD1472</t>
  </si>
  <si>
    <t>C472</t>
  </si>
  <si>
    <t>ORD1473</t>
  </si>
  <si>
    <t>C473</t>
  </si>
  <si>
    <t>ORD1474</t>
  </si>
  <si>
    <t>C474</t>
  </si>
  <si>
    <t>ORD1475</t>
  </si>
  <si>
    <t>C475</t>
  </si>
  <si>
    <t>ORD1476</t>
  </si>
  <si>
    <t>C476</t>
  </si>
  <si>
    <t>ORD1477</t>
  </si>
  <si>
    <t>C477</t>
  </si>
  <si>
    <t>ORD1478</t>
  </si>
  <si>
    <t>C478</t>
  </si>
  <si>
    <t>ORD1479</t>
  </si>
  <si>
    <t>C479</t>
  </si>
  <si>
    <t>ORD1480</t>
  </si>
  <si>
    <t>C480</t>
  </si>
  <si>
    <t>ORD1481</t>
  </si>
  <si>
    <t>C481</t>
  </si>
  <si>
    <t>ORD1482</t>
  </si>
  <si>
    <t>C482</t>
  </si>
  <si>
    <t>ORD1483</t>
  </si>
  <si>
    <t>C483</t>
  </si>
  <si>
    <t>ORD1484</t>
  </si>
  <si>
    <t>C484</t>
  </si>
  <si>
    <t>ORD1485</t>
  </si>
  <si>
    <t>C485</t>
  </si>
  <si>
    <t>ORD1486</t>
  </si>
  <si>
    <t>C486</t>
  </si>
  <si>
    <t>ORD1487</t>
  </si>
  <si>
    <t>C487</t>
  </si>
  <si>
    <t>ORD1488</t>
  </si>
  <si>
    <t>C488</t>
  </si>
  <si>
    <t>ORD1489</t>
  </si>
  <si>
    <t>C489</t>
  </si>
  <si>
    <t>ORD1490</t>
  </si>
  <si>
    <t>C490</t>
  </si>
  <si>
    <t>ORD1491</t>
  </si>
  <si>
    <t>C491</t>
  </si>
  <si>
    <t>ORD1492</t>
  </si>
  <si>
    <t>C492</t>
  </si>
  <si>
    <t>ORD1493</t>
  </si>
  <si>
    <t>C493</t>
  </si>
  <si>
    <t>ORD1494</t>
  </si>
  <si>
    <t>C494</t>
  </si>
  <si>
    <t>ORD1495</t>
  </si>
  <si>
    <t>C495</t>
  </si>
  <si>
    <t>ORD1496</t>
  </si>
  <si>
    <t>C496</t>
  </si>
  <si>
    <t>ORD1497</t>
  </si>
  <si>
    <t>C497</t>
  </si>
  <si>
    <t>ORD1498</t>
  </si>
  <si>
    <t>C498</t>
  </si>
  <si>
    <t>ORD1499</t>
  </si>
  <si>
    <t>C499</t>
  </si>
  <si>
    <t>ORD1500</t>
  </si>
  <si>
    <t>C500</t>
  </si>
  <si>
    <t>day</t>
  </si>
  <si>
    <t>month</t>
  </si>
  <si>
    <t>year</t>
  </si>
  <si>
    <t>month name</t>
  </si>
  <si>
    <t>day name</t>
  </si>
  <si>
    <t>weekend/weekday</t>
  </si>
  <si>
    <t>order_time_change</t>
  </si>
  <si>
    <t>bakery</t>
  </si>
  <si>
    <t>Row Labels</t>
  </si>
  <si>
    <t>Sum of Final_Payable_Amount</t>
  </si>
  <si>
    <t>Count of Order_ID</t>
  </si>
  <si>
    <t>Sum of Total_Product_Value</t>
  </si>
  <si>
    <t>Weekday</t>
  </si>
  <si>
    <t>Weekend</t>
  </si>
  <si>
    <t>BLINKIT DATA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</si>
</sst>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36"/>
      <color rgb="FFFF0000"/>
      <name val="Arial Black"/>
      <family val="2"/>
    </font>
  </fonts>
  <fills count="5">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3" borderId="0" xfId="0" applyFill="1"/>
    <xf numFmtId="0" fontId="0" fillId="2" borderId="0" xfId="0" applyFill="1"/>
    <xf numFmtId="0" fontId="0" fillId="4" borderId="0" xfId="0" applyFill="1"/>
    <xf numFmtId="0" fontId="0" fillId="4" borderId="0" xfId="0"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image" Target="../media/image1.jpeg"/></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[Blinkit_Uncleaned_dataset.xlsx]Date Payable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Date</a:t>
            </a:r>
            <a:r>
              <a:rPr lang="en-US" baseline="0"/>
              <a:t> </a:t>
            </a:r>
            <a:r>
              <a:rPr lang="en-US"/>
              <a:t>Wise Payable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 Payable Chart'!$B$3</c:f>
              <c:strCache>
                <c:ptCount val="1"/>
                <c:pt idx="0">
                  <c:v>Total</c:v>
                </c:pt>
              </c:strCache>
            </c:strRef>
          </c:tx>
          <c:spPr>
            <a:blipFill>
              <a:blip xmlns:r="http://schemas.openxmlformats.org/officeDocument/2006/relationships" r:embed="rId3"/>
              <a:tile tx="0" ty="0" sx="100000" sy="100000" flip="none" algn="tl"/>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'Date Payable Chart'!$A$4:$A$14</c:f>
              <c:strCache>
                <c:ptCount val="1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strCache>
            </c:strRef>
          </c:cat>
          <c:val>
            <c:numRef>
              <c:f>'Date Payable Chart'!$B$4:$B$14</c:f>
              <c:numCache>
                <c:formatCode>General</c:formatCode>
                <c:ptCount val="11"/>
                <c:pt idx="0">
                  <c:v>5870</c:v>
                </c:pt>
                <c:pt idx="1">
                  <c:v>9206</c:v>
                </c:pt>
                <c:pt idx="2">
                  <c:v>11996</c:v>
                </c:pt>
                <c:pt idx="3">
                  <c:v>9408</c:v>
                </c:pt>
                <c:pt idx="4">
                  <c:v>11602</c:v>
                </c:pt>
                <c:pt idx="5">
                  <c:v>12846</c:v>
                </c:pt>
                <c:pt idx="6">
                  <c:v>9133</c:v>
                </c:pt>
                <c:pt idx="7">
                  <c:v>10398</c:v>
                </c:pt>
                <c:pt idx="8">
                  <c:v>10517</c:v>
                </c:pt>
                <c:pt idx="9">
                  <c:v>10012</c:v>
                </c:pt>
                <c:pt idx="10">
                  <c:v>12094</c:v>
                </c:pt>
              </c:numCache>
            </c:numRef>
          </c:val>
          <c:extLst>
            <c:ext xmlns:c16="http://schemas.microsoft.com/office/drawing/2014/chart" uri="{C3380CC4-5D6E-409C-BE32-E72D297353CC}">
              <c16:uniqueId val="{00000000-C123-47C9-8E81-614A592CE3D8}"/>
            </c:ext>
          </c:extLst>
        </c:ser>
        <c:dLbls>
          <c:showLegendKey val="0"/>
          <c:showVal val="0"/>
          <c:showCatName val="0"/>
          <c:showSerName val="0"/>
          <c:showPercent val="0"/>
          <c:showBubbleSize val="0"/>
        </c:dLbls>
        <c:gapWidth val="100"/>
        <c:overlap val="-24"/>
        <c:axId val="2128900608"/>
        <c:axId val="2128886208"/>
      </c:barChart>
      <c:catAx>
        <c:axId val="2128900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2128886208"/>
        <c:crosses val="autoZero"/>
        <c:auto val="1"/>
        <c:lblAlgn val="ctr"/>
        <c:lblOffset val="100"/>
        <c:noMultiLvlLbl val="0"/>
      </c:catAx>
      <c:valAx>
        <c:axId val="2128886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12890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[Blinkit_Uncleaned_dataset.xlsx]Delivery Report 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Order Delivery Status Report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'Delivery Report Chart'!$B$3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A51-4084-89D5-58118E55605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A51-4084-89D5-58118E5560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'Delivery Report Chart'!$A$4:$A$5</c:f>
              <c:strCache>
                <c:ptCount val="2"/>
                <c:pt idx="0">
                  <c:v>Delivered</c:v>
                </c:pt>
                <c:pt idx="1">
                  <c:v>Late</c:v>
                </c:pt>
              </c:strCache>
            </c:strRef>
          </c:cat>
          <c:val>
            <c:numRef>
              <c:f>'Delivery Report Chart'!$B$4:$B$5</c:f>
              <c:numCache>
                <c:formatCode>General</c:formatCode>
                <c:ptCount val="2"/>
                <c:pt idx="0">
                  <c:v>274</c:v>
                </c:pt>
                <c:pt idx="1">
                  <c:v>226</c:v>
                </c:pt>
              </c:numCache>
            </c:numRef>
          </c:val>
          <c:extLst>
            <c:ext xmlns:c16="http://schemas.microsoft.com/office/drawing/2014/chart" uri="{C3380CC4-5D6E-409C-BE32-E72D297353CC}">
              <c16:uniqueId val="{00000000-271B-4615-8E22-56F8923416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[Blinkit_Uncleaned_dataset.xlsx]Discount People Chart!PivotTable3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Apply the Discount People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cmpd="sng">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4759405074367"/>
          <c:y val="0.18300925925925926"/>
          <c:w val="0.79397419072615916"/>
          <c:h val="0.70959135316418775"/>
        </c:manualLayout>
      </c:layout>
      <c:lineChart>
        <c:grouping val="standard"/>
        <c:varyColors val="0"/>
        <c:ser>
          <c:idx val="0"/>
          <c:order val="0"/>
          <c:tx>
            <c:strRef>
              <c:f>'Discount People Chart'!$B$3</c:f>
              <c:strCache>
                <c:ptCount val="1"/>
                <c:pt idx="0">
                  <c:v>Total</c:v>
                </c:pt>
              </c:strCache>
            </c:strRef>
          </c:tx>
          <c:spPr>
            <a:ln w="34925" cap="rnd" cmpd="sng">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 People Chart'!$A$4:$A$6</c:f>
              <c:strCache>
                <c:ptCount val="3"/>
                <c:pt idx="0">
                  <c:v>0</c:v>
                </c:pt>
                <c:pt idx="1">
                  <c:v>5</c:v>
                </c:pt>
                <c:pt idx="2">
                  <c:v>10</c:v>
                </c:pt>
              </c:strCache>
            </c:strRef>
          </c:cat>
          <c:val>
            <c:numRef>
              <c:f>'Discount People Chart'!$B$4:$B$6</c:f>
              <c:numCache>
                <c:formatCode>General</c:formatCode>
                <c:ptCount val="3"/>
                <c:pt idx="0">
                  <c:v>60326</c:v>
                </c:pt>
                <c:pt idx="1">
                  <c:v>24442</c:v>
                </c:pt>
                <c:pt idx="2">
                  <c:v>28314</c:v>
                </c:pt>
              </c:numCache>
            </c:numRef>
          </c:val>
          <c:smooth val="0"/>
          <c:extLst>
            <c:ext xmlns:c16="http://schemas.microsoft.com/office/drawing/2014/chart" uri="{C3380CC4-5D6E-409C-BE32-E72D297353CC}">
              <c16:uniqueId val="{00000000-B0B0-457C-A6DD-CFC6C839EC89}"/>
            </c:ext>
          </c:extLst>
        </c:ser>
        <c:dLbls>
          <c:dLblPos val="ctr"/>
          <c:showLegendKey val="0"/>
          <c:showVal val="1"/>
          <c:showCatName val="0"/>
          <c:showSerName val="0"/>
          <c:showPercent val="0"/>
          <c:showBubbleSize val="0"/>
        </c:dLbls>
        <c:marker val="1"/>
        <c:smooth val="0"/>
        <c:axId val="140066160"/>
        <c:axId val="140075760"/>
      </c:lineChart>
      <c:catAx>
        <c:axId val="140066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75760"/>
        <c:crosses val="autoZero"/>
        <c:auto val="1"/>
        <c:lblAlgn val="ctr"/>
        <c:lblOffset val="100"/>
        <c:noMultiLvlLbl val="0"/>
      </c:catAx>
      <c:valAx>
        <c:axId val="14007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[Blinkit_Uncleaned_dataset.xlsx]City Name Chart!PivotTable5</c:name>
    <c:fmtId val="0"/>
  </c:pivotSource>
  <c:chart>
    <c:title>
      <c:tx>
        <c:rich>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r>
              <a:rPr lang="en-US">
                <a:solidFill>
                  <a:srgbClr val="FF0000"/>
                </a:solidFill>
              </a:rPr>
              <a:t>City wise Total Product</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Name Chart'!$B$3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'City Name Chart'!$A$4:$A$10</c:f>
              <c:strCache>
                <c:ptCount val="7"/>
                <c:pt idx="0">
                  <c:v>Bangalore</c:v>
                </c:pt>
                <c:pt idx="1">
                  <c:v>Chennai</c:v>
                </c:pt>
                <c:pt idx="2">
                  <c:v>Delhi</c:v>
                </c:pt>
                <c:pt idx="3">
                  <c:v>Hyderabad</c:v>
                </c:pt>
                <c:pt idx="4">
                  <c:v>kolkata</c:v>
                </c:pt>
                <c:pt idx="5">
                  <c:v>Mumbai</c:v>
                </c:pt>
                <c:pt idx="6">
                  <c:v>Pune</c:v>
                </c:pt>
              </c:strCache>
            </c:strRef>
          </c:cat>
          <c:val>
            <c:numRef>
              <c:f>'City Name Chart'!$B$4:$B$10</c:f>
              <c:numCache>
                <c:formatCode>General</c:formatCode>
                <c:ptCount val="7"/>
                <c:pt idx="0">
                  <c:v>26659</c:v>
                </c:pt>
                <c:pt idx="1">
                  <c:v>15763</c:v>
                </c:pt>
                <c:pt idx="2">
                  <c:v>12937</c:v>
                </c:pt>
                <c:pt idx="3">
                  <c:v>21315</c:v>
                </c:pt>
                <c:pt idx="4">
                  <c:v>12311</c:v>
                </c:pt>
                <c:pt idx="5">
                  <c:v>12545</c:v>
                </c:pt>
                <c:pt idx="6">
                  <c:v>13607</c:v>
                </c:pt>
              </c:numCache>
            </c:numRef>
          </c:val>
          <c:extLst>
            <c:ext xmlns:c16="http://schemas.microsoft.com/office/drawing/2014/chart" uri="{C3380CC4-5D6E-409C-BE32-E72D297353CC}">
              <c16:uniqueId val="{00000000-679F-4542-8327-C43C6DD504A6}"/>
            </c:ext>
          </c:extLst>
        </c:ser>
        <c:dLbls>
          <c:dLblPos val="inEnd"/>
          <c:showLegendKey val="0"/>
          <c:showVal val="1"/>
          <c:showCatName val="0"/>
          <c:showSerName val="0"/>
          <c:showPercent val="0"/>
          <c:showBubbleSize val="0"/>
        </c:dLbls>
        <c:gapWidth val="65"/>
        <c:axId val="2113225056"/>
        <c:axId val="2113208736"/>
      </c:barChart>
      <c:catAx>
        <c:axId val="21132250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2113208736"/>
        <c:crosses val="autoZero"/>
        <c:auto val="1"/>
        <c:lblAlgn val="ctr"/>
        <c:lblOffset val="100"/>
        <c:noMultiLvlLbl val="0"/>
      </c:catAx>
      <c:valAx>
        <c:axId val="21132087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3225056"/>
        <c:crosses val="autoZero"/>
        <c:crossBetween val="between"/>
      </c:valAx>
      <c:spPr>
        <a:solidFill>
          <a:schemeClr val="tx1">
            <a:lumMod val="75000"/>
            <a:lumOff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[Blinkit_Uncleaned_dataset.xlsx]Product Name Chart!PivotTable4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pRODUCT</a:t>
            </a:r>
            <a:r>
              <a:rPr lang="en-US" baseline="0"/>
              <a:t> NAME WISE TOTAL</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Name Chart'!$B$3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 Name Chart'!$A$4:$A$12</c:f>
              <c:strCache>
                <c:ptCount val="9"/>
                <c:pt idx="0">
                  <c:v>Apple</c:v>
                </c:pt>
                <c:pt idx="1">
                  <c:v>Banana</c:v>
                </c:pt>
                <c:pt idx="2">
                  <c:v>Bread</c:v>
                </c:pt>
                <c:pt idx="3">
                  <c:v>Chips</c:v>
                </c:pt>
                <c:pt idx="4">
                  <c:v>Curd</c:v>
                </c:pt>
                <c:pt idx="5">
                  <c:v>Milk 1L</c:v>
                </c:pt>
                <c:pt idx="6">
                  <c:v>Paneer</c:v>
                </c:pt>
                <c:pt idx="7">
                  <c:v>Potato</c:v>
                </c:pt>
                <c:pt idx="8">
                  <c:v>Rice 5kg</c:v>
                </c:pt>
              </c:strCache>
            </c:strRef>
          </c:cat>
          <c:val>
            <c:numRef>
              <c:f>'Product Name Chart'!$B$4:$B$12</c:f>
              <c:numCache>
                <c:formatCode>General</c:formatCode>
                <c:ptCount val="9"/>
                <c:pt idx="0">
                  <c:v>11441</c:v>
                </c:pt>
                <c:pt idx="1">
                  <c:v>12882</c:v>
                </c:pt>
                <c:pt idx="2">
                  <c:v>14540</c:v>
                </c:pt>
                <c:pt idx="3">
                  <c:v>10779</c:v>
                </c:pt>
                <c:pt idx="4">
                  <c:v>14121</c:v>
                </c:pt>
                <c:pt idx="5">
                  <c:v>16952</c:v>
                </c:pt>
                <c:pt idx="6">
                  <c:v>11376</c:v>
                </c:pt>
                <c:pt idx="7">
                  <c:v>11728</c:v>
                </c:pt>
                <c:pt idx="8">
                  <c:v>9263</c:v>
                </c:pt>
              </c:numCache>
            </c:numRef>
          </c:val>
          <c:smooth val="0"/>
          <c:extLst>
            <c:ext xmlns:c16="http://schemas.microsoft.com/office/drawing/2014/chart" uri="{C3380CC4-5D6E-409C-BE32-E72D297353CC}">
              <c16:uniqueId val="{00000000-873F-4CBB-B1F5-5CD09EE7917C}"/>
            </c:ext>
          </c:extLst>
        </c:ser>
        <c:dLbls>
          <c:showLegendKey val="0"/>
          <c:showVal val="0"/>
          <c:showCatName val="0"/>
          <c:showSerName val="0"/>
          <c:showPercent val="0"/>
          <c:showBubbleSize val="0"/>
        </c:dLbls>
        <c:dropLines>
          <c:spPr>
            <a:ln w="9525" cap="flat" cmpd="sng" algn="ctr">
              <a:solidFill>
                <a:srgbClr val="92D050"/>
              </a:solidFill>
              <a:round/>
            </a:ln>
            <a:effectLst/>
          </c:spPr>
        </c:dropLines>
        <c:marker val="1"/>
        <c:smooth val="0"/>
        <c:axId val="42181888"/>
        <c:axId val="42179968"/>
      </c:lineChart>
      <c:catAx>
        <c:axId val="421818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rgbClr val="FFFF00"/>
                </a:solidFill>
                <a:latin typeface="+mn-lt"/>
                <a:ea typeface="+mn-ea"/>
                <a:cs typeface="+mn-cs"/>
              </a:defRPr>
            </a:pPr>
            <a:endParaRPr lang="en-US"/>
          </a:p>
        </c:txPr>
        <c:crossAx val="42179968"/>
        <c:crosses val="autoZero"/>
        <c:auto val="1"/>
        <c:lblAlgn val="ctr"/>
        <c:lblOffset val="100"/>
        <c:noMultiLvlLbl val="0"/>
      </c:catAx>
      <c:valAx>
        <c:axId val="4217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42181888"/>
        <c:crosses val="autoZero"/>
        <c:crossBetween val="between"/>
      </c:valAx>
      <c:spPr>
        <a:solidFill>
          <a:schemeClr val="tx1">
            <a:lumMod val="75000"/>
            <a:lumOff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[Blinkit_Uncleaned_dataset.xlsx]Payment Mode Chart!PivotTable6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Mode Wise Total Payable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'Payment Mode Chart'!$B$3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9F0-4C5E-B98C-70F1D657F53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9F0-4C5E-B98C-70F1D657F53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9F0-4C5E-B98C-70F1D657F53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9F0-4C5E-B98C-70F1D657F5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Mode Chart'!$A$4:$A$7</c:f>
              <c:strCache>
                <c:ptCount val="4"/>
                <c:pt idx="0">
                  <c:v>Card</c:v>
                </c:pt>
                <c:pt idx="1">
                  <c:v>COD</c:v>
                </c:pt>
                <c:pt idx="2">
                  <c:v>UPI</c:v>
                </c:pt>
                <c:pt idx="3">
                  <c:v>Wallet</c:v>
                </c:pt>
              </c:strCache>
            </c:strRef>
          </c:cat>
          <c:val>
            <c:numRef>
              <c:f>'Payment Mode Chart'!$B$4:$B$7</c:f>
              <c:numCache>
                <c:formatCode>General</c:formatCode>
                <c:ptCount val="4"/>
                <c:pt idx="0">
                  <c:v>23041</c:v>
                </c:pt>
                <c:pt idx="1">
                  <c:v>22789</c:v>
                </c:pt>
                <c:pt idx="2">
                  <c:v>43438</c:v>
                </c:pt>
                <c:pt idx="3">
                  <c:v>23814</c:v>
                </c:pt>
              </c:numCache>
            </c:numRef>
          </c:val>
          <c:extLst>
            <c:ext xmlns:c16="http://schemas.microsoft.com/office/drawing/2014/chart" uri="{C3380CC4-5D6E-409C-BE32-E72D297353CC}">
              <c16:uniqueId val="{00000000-1077-43F4-9104-C7DC6A2F2F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[Blinkit_Uncleaned_dataset.xlsx]Days Wise Total Value!PivotTable7</c:name>
    <c:fmtId val="0"/>
  </c:pivotSource>
  <c:chart>
    <c:title>
      <c:tx>
        <c:rich>
          <a:bodyPr rot="0" spcFirstLastPara="1" vertOverflow="ellipsis" vert="horz" wrap="square" anchor="ctr" anchorCtr="1"/>
          <a:lstStyle/>
          <a:p>
            <a:pPr>
              <a:defRPr sz="1800" b="0" i="0" u="none" strike="noStrike" kern="1200" cap="all" baseline="0">
                <a:solidFill>
                  <a:srgbClr val="FFC000"/>
                </a:solidFill>
                <a:latin typeface="+mn-lt"/>
                <a:ea typeface="+mn-ea"/>
                <a:cs typeface="+mn-cs"/>
              </a:defRPr>
            </a:pPr>
            <a:r>
              <a:rPr lang="en-US">
                <a:solidFill>
                  <a:srgbClr val="FFC000"/>
                </a:solidFill>
              </a:rPr>
              <a:t>Check The Days Wise Total Value</a:t>
            </a:r>
          </a:p>
        </c:rich>
      </c:tx>
      <c:overlay val="0"/>
      <c:spPr>
        <a:noFill/>
        <a:ln>
          <a:noFill/>
        </a:ln>
        <a:effectLst/>
      </c:spPr>
      <c:txPr>
        <a:bodyPr rot="0" spcFirstLastPara="1" vertOverflow="ellipsis" vert="horz" wrap="square" anchor="ctr" anchorCtr="1"/>
        <a:lstStyle/>
        <a:p>
          <a:pPr>
            <a:defRPr sz="1800" b="0" i="0" u="none" strike="noStrike" kern="1200" cap="all" baseline="0">
              <a:solidFill>
                <a:srgbClr val="FFC000"/>
              </a:solidFill>
              <a:latin typeface="+mn-lt"/>
              <a:ea typeface="+mn-ea"/>
              <a:cs typeface="+mn-cs"/>
            </a:defRPr>
          </a:pPr>
          <a:endParaRPr lang="en-US"/>
        </a:p>
      </c:txPr>
    </c:title>
    <c:autoTitleDeleted val="0"/>
    <c:pivotFmts>
      <c:pivotFmt>
        <c:idx val="0"/>
        <c:spPr>
          <a:solidFill>
            <a:schemeClr val="bg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solidFill>
          <a:schemeClr val="tx1">
            <a:lumMod val="50000"/>
            <a:lumOff val="50000"/>
          </a:schemeClr>
        </a:solidFill>
        <a:ln>
          <a:noFill/>
        </a:ln>
        <a:effectLst/>
        <a:sp3d/>
      </c:spPr>
    </c:sideWall>
    <c:backWall>
      <c:thickness val="0"/>
      <c:spPr>
        <a:solidFill>
          <a:schemeClr val="tx1">
            <a:lumMod val="50000"/>
            <a:lumOff val="50000"/>
          </a:schemeClr>
        </a:solidFill>
        <a:ln>
          <a:noFill/>
        </a:ln>
        <a:effectLst/>
        <a:sp3d/>
      </c:spPr>
    </c:backWall>
    <c:plotArea>
      <c:layout/>
      <c:bar3DChart>
        <c:barDir val="col"/>
        <c:grouping val="clustered"/>
        <c:varyColors val="0"/>
        <c:ser>
          <c:idx val="0"/>
          <c:order val="0"/>
          <c:tx>
            <c:strRef>
              <c:f>'Days Wise Total Value'!$B$3</c:f>
              <c:strCache>
                <c:ptCount val="1"/>
                <c:pt idx="0">
                  <c:v>Total</c:v>
                </c:pt>
              </c:strCache>
            </c:strRef>
          </c:tx>
          <c:spPr>
            <a:solidFill>
              <a:schemeClr val="bg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'Days Wise Total Value'!$A$4:$A$5</c:f>
              <c:strCache>
                <c:ptCount val="2"/>
                <c:pt idx="0">
                  <c:v>Weekday</c:v>
                </c:pt>
                <c:pt idx="1">
                  <c:v>Weekend</c:v>
                </c:pt>
              </c:strCache>
            </c:strRef>
          </c:cat>
          <c:val>
            <c:numRef>
              <c:f>'Days Wise Total Value'!$B$4:$B$5</c:f>
              <c:numCache>
                <c:formatCode>General</c:formatCode>
                <c:ptCount val="2"/>
                <c:pt idx="0">
                  <c:v>79978</c:v>
                </c:pt>
                <c:pt idx="1">
                  <c:v>33104</c:v>
                </c:pt>
              </c:numCache>
            </c:numRef>
          </c:val>
          <c:extLst>
            <c:ext xmlns:c16="http://schemas.microsoft.com/office/drawing/2014/chart" uri="{C3380CC4-5D6E-409C-BE32-E72D297353CC}">
              <c16:uniqueId val="{00000000-256B-4B88-A4CF-F750926F4177}"/>
            </c:ext>
          </c:extLst>
        </c:ser>
        <c:dLbls>
          <c:showLegendKey val="0"/>
          <c:showVal val="1"/>
          <c:showCatName val="0"/>
          <c:showSerName val="0"/>
          <c:showPercent val="0"/>
          <c:showBubbleSize val="0"/>
        </c:dLbls>
        <c:gapWidth val="84"/>
        <c:gapDepth val="53"/>
        <c:shape val="box"/>
        <c:axId val="2092097232"/>
        <c:axId val="2092093872"/>
        <c:axId val="0"/>
      </c:bar3DChart>
      <c:catAx>
        <c:axId val="209209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2092093872"/>
        <c:crosses val="autoZero"/>
        <c:auto val="1"/>
        <c:lblAlgn val="ctr"/>
        <c:lblOffset val="100"/>
        <c:noMultiLvlLbl val="0"/>
      </c:catAx>
      <c:valAx>
        <c:axId val="2092093872"/>
        <c:scaling>
          <c:orientation val="minMax"/>
        </c:scaling>
        <c:delete val="1"/>
        <c:axPos val="l"/>
        <c:numFmt formatCode="General" sourceLinked="1"/>
        <c:majorTickMark val="out"/>
        <c:minorTickMark val="none"/>
        <c:tickLblPos val="nextTo"/>
        <c:crossAx val="209209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[Blinkit_Uncleaned_dataset.xlsx]Date Payable Chart!PivotTable1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Date</a:t>
            </a:r>
            <a:r>
              <a:rPr lang="en-US" baseline="0"/>
              <a:t> </a:t>
            </a:r>
            <a:r>
              <a:rPr lang="en-US"/>
              <a:t>Wise Payable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4"/>
            <a:tile tx="0" ty="0" sx="100000" sy="100000" flip="none" algn="tl"/>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tile tx="0" ty="0" sx="100000" sy="100000" flip="none" algn="tl"/>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4"/>
            <a:tile tx="0" ty="0" sx="100000" sy="100000" flip="none" algn="tl"/>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6288213677299"/>
          <c:y val="0.17513997241890197"/>
          <c:w val="0.86385502584432849"/>
          <c:h val="0.58372274272082791"/>
        </c:manualLayout>
      </c:layout>
      <c:barChart>
        <c:barDir val="col"/>
        <c:grouping val="clustered"/>
        <c:varyColors val="0"/>
        <c:ser>
          <c:idx val="0"/>
          <c:order val="0"/>
          <c:tx>
            <c:strRef>
              <c:f>'Date Payable Chart'!$B$3</c:f>
              <c:strCache>
                <c:ptCount val="1"/>
                <c:pt idx="0">
                  <c:v>Total</c:v>
                </c:pt>
              </c:strCache>
            </c:strRef>
          </c:tx>
          <c:spPr>
            <a:blipFill>
              <a:blip xmlns:r="http://schemas.openxmlformats.org/officeDocument/2006/relationships" r:embed="rId4"/>
              <a:tile tx="0" ty="0" sx="100000" sy="100000" flip="none" algn="tl"/>
            </a:blip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'Date Payable Chart'!$A$4:$A$14</c:f>
              <c:strCache>
                <c:ptCount val="1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strCache>
            </c:strRef>
          </c:cat>
          <c:val>
            <c:numRef>
              <c:f>'Date Payable Chart'!$B$4:$B$14</c:f>
              <c:numCache>
                <c:formatCode>General</c:formatCode>
                <c:ptCount val="11"/>
                <c:pt idx="0">
                  <c:v>5870</c:v>
                </c:pt>
                <c:pt idx="1">
                  <c:v>9206</c:v>
                </c:pt>
                <c:pt idx="2">
                  <c:v>11996</c:v>
                </c:pt>
                <c:pt idx="3">
                  <c:v>9408</c:v>
                </c:pt>
                <c:pt idx="4">
                  <c:v>11602</c:v>
                </c:pt>
                <c:pt idx="5">
                  <c:v>12846</c:v>
                </c:pt>
                <c:pt idx="6">
                  <c:v>9133</c:v>
                </c:pt>
                <c:pt idx="7">
                  <c:v>10398</c:v>
                </c:pt>
                <c:pt idx="8">
                  <c:v>10517</c:v>
                </c:pt>
                <c:pt idx="9">
                  <c:v>10012</c:v>
                </c:pt>
                <c:pt idx="10">
                  <c:v>12094</c:v>
                </c:pt>
              </c:numCache>
            </c:numRef>
          </c:val>
          <c:extLst>
            <c:ext xmlns:c16="http://schemas.microsoft.com/office/drawing/2014/chart" uri="{C3380CC4-5D6E-409C-BE32-E72D297353CC}">
              <c16:uniqueId val="{00000000-0E0A-408D-B8F2-BEB1CBDCC7A7}"/>
            </c:ext>
          </c:extLst>
        </c:ser>
        <c:dLbls>
          <c:showLegendKey val="0"/>
          <c:showVal val="0"/>
          <c:showCatName val="0"/>
          <c:showSerName val="0"/>
          <c:showPercent val="0"/>
          <c:showBubbleSize val="0"/>
        </c:dLbls>
        <c:gapWidth val="100"/>
        <c:overlap val="-24"/>
        <c:axId val="2128900608"/>
        <c:axId val="2128886208"/>
      </c:barChart>
      <c:catAx>
        <c:axId val="2128900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2128886208"/>
        <c:crosses val="autoZero"/>
        <c:auto val="1"/>
        <c:lblAlgn val="ctr"/>
        <c:lblOffset val="100"/>
        <c:noMultiLvlLbl val="0"/>
      </c:catAx>
      <c:valAx>
        <c:axId val="2128886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12890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[Blinkit_Uncleaned_dataset.xlsx]Delivery Report Chart!PivotTable2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Order Delivery Status Report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'Delivery Report Chart'!$B$3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9B1-4DD8-BFA5-BA465323468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9B1-4DD8-BFA5-BA46532346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'Delivery Report Chart'!$A$4:$A$5</c:f>
              <c:strCache>
                <c:ptCount val="2"/>
                <c:pt idx="0">
                  <c:v>Delivered</c:v>
                </c:pt>
                <c:pt idx="1">
                  <c:v>Late</c:v>
                </c:pt>
              </c:strCache>
            </c:strRef>
          </c:cat>
          <c:val>
            <c:numRef>
              <c:f>'Delivery Report Chart'!$B$4:$B$5</c:f>
              <c:numCache>
                <c:formatCode>General</c:formatCode>
                <c:ptCount val="2"/>
                <c:pt idx="0">
                  <c:v>274</c:v>
                </c:pt>
                <c:pt idx="1">
                  <c:v>226</c:v>
                </c:pt>
              </c:numCache>
            </c:numRef>
          </c:val>
          <c:extLst>
            <c:ext xmlns:c16="http://schemas.microsoft.com/office/drawing/2014/chart" uri="{C3380CC4-5D6E-409C-BE32-E72D297353CC}">
              <c16:uniqueId val="{00000004-89B1-4DD8-BFA5-BA46532346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[Blinkit_Uncleaned_dataset.xlsx]Discount People Chart!PivotTable3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Apply the Discount People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cmpd="sng">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cmpd="sng">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cmpd="sng">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4893982586732"/>
          <c:y val="0.18300940757159828"/>
          <c:w val="0.79397419072615916"/>
          <c:h val="0.70959135316418775"/>
        </c:manualLayout>
      </c:layout>
      <c:lineChart>
        <c:grouping val="standard"/>
        <c:varyColors val="0"/>
        <c:ser>
          <c:idx val="0"/>
          <c:order val="0"/>
          <c:tx>
            <c:strRef>
              <c:f>'Discount People Chart'!$B$3</c:f>
              <c:strCache>
                <c:ptCount val="1"/>
                <c:pt idx="0">
                  <c:v>Total</c:v>
                </c:pt>
              </c:strCache>
            </c:strRef>
          </c:tx>
          <c:spPr>
            <a:ln w="34925" cap="rnd" cmpd="sng">
              <a:solidFill>
                <a:srgbClr val="00B05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 People Chart'!$A$4:$A$6</c:f>
              <c:strCache>
                <c:ptCount val="3"/>
                <c:pt idx="0">
                  <c:v>0</c:v>
                </c:pt>
                <c:pt idx="1">
                  <c:v>5</c:v>
                </c:pt>
                <c:pt idx="2">
                  <c:v>10</c:v>
                </c:pt>
              </c:strCache>
            </c:strRef>
          </c:cat>
          <c:val>
            <c:numRef>
              <c:f>'Discount People Chart'!$B$4:$B$6</c:f>
              <c:numCache>
                <c:formatCode>General</c:formatCode>
                <c:ptCount val="3"/>
                <c:pt idx="0">
                  <c:v>60326</c:v>
                </c:pt>
                <c:pt idx="1">
                  <c:v>24442</c:v>
                </c:pt>
                <c:pt idx="2">
                  <c:v>28314</c:v>
                </c:pt>
              </c:numCache>
            </c:numRef>
          </c:val>
          <c:smooth val="0"/>
          <c:extLst>
            <c:ext xmlns:c16="http://schemas.microsoft.com/office/drawing/2014/chart" uri="{C3380CC4-5D6E-409C-BE32-E72D297353CC}">
              <c16:uniqueId val="{00000000-15CD-4DB7-8BBD-6768D1F30A44}"/>
            </c:ext>
          </c:extLst>
        </c:ser>
        <c:dLbls>
          <c:dLblPos val="ctr"/>
          <c:showLegendKey val="0"/>
          <c:showVal val="1"/>
          <c:showCatName val="0"/>
          <c:showSerName val="0"/>
          <c:showPercent val="0"/>
          <c:showBubbleSize val="0"/>
        </c:dLbls>
        <c:marker val="1"/>
        <c:smooth val="0"/>
        <c:axId val="140066160"/>
        <c:axId val="140075760"/>
      </c:lineChart>
      <c:catAx>
        <c:axId val="140066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75760"/>
        <c:crosses val="autoZero"/>
        <c:auto val="1"/>
        <c:lblAlgn val="ctr"/>
        <c:lblOffset val="100"/>
        <c:noMultiLvlLbl val="0"/>
      </c:catAx>
      <c:valAx>
        <c:axId val="14007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[Blinkit_Uncleaned_dataset.xlsx]City Name Chart!PivotTable5</c:name>
    <c:fmtId val="5"/>
  </c:pivotSource>
  <c:chart>
    <c:title>
      <c:tx>
        <c:rich>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r>
              <a:rPr lang="en-US">
                <a:solidFill>
                  <a:srgbClr val="FF0000"/>
                </a:solidFill>
              </a:rPr>
              <a:t>City wise Total Product</a:t>
            </a:r>
          </a:p>
        </c:rich>
      </c:tx>
      <c:layout>
        <c:manualLayout>
          <c:xMode val="edge"/>
          <c:yMode val="edge"/>
          <c:x val="0.25289566929133861"/>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Name Chart'!$B$3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'City Name Chart'!$A$4:$A$10</c:f>
              <c:strCache>
                <c:ptCount val="7"/>
                <c:pt idx="0">
                  <c:v>Bangalore</c:v>
                </c:pt>
                <c:pt idx="1">
                  <c:v>Chennai</c:v>
                </c:pt>
                <c:pt idx="2">
                  <c:v>Delhi</c:v>
                </c:pt>
                <c:pt idx="3">
                  <c:v>Hyderabad</c:v>
                </c:pt>
                <c:pt idx="4">
                  <c:v>kolkata</c:v>
                </c:pt>
                <c:pt idx="5">
                  <c:v>Mumbai</c:v>
                </c:pt>
                <c:pt idx="6">
                  <c:v>Pune</c:v>
                </c:pt>
              </c:strCache>
            </c:strRef>
          </c:cat>
          <c:val>
            <c:numRef>
              <c:f>'City Name Chart'!$B$4:$B$10</c:f>
              <c:numCache>
                <c:formatCode>General</c:formatCode>
                <c:ptCount val="7"/>
                <c:pt idx="0">
                  <c:v>26659</c:v>
                </c:pt>
                <c:pt idx="1">
                  <c:v>15763</c:v>
                </c:pt>
                <c:pt idx="2">
                  <c:v>12937</c:v>
                </c:pt>
                <c:pt idx="3">
                  <c:v>21315</c:v>
                </c:pt>
                <c:pt idx="4">
                  <c:v>12311</c:v>
                </c:pt>
                <c:pt idx="5">
                  <c:v>12545</c:v>
                </c:pt>
                <c:pt idx="6">
                  <c:v>13607</c:v>
                </c:pt>
              </c:numCache>
            </c:numRef>
          </c:val>
          <c:extLst>
            <c:ext xmlns:c16="http://schemas.microsoft.com/office/drawing/2014/chart" uri="{C3380CC4-5D6E-409C-BE32-E72D297353CC}">
              <c16:uniqueId val="{00000000-53D9-480C-9B9D-4D8152A24F37}"/>
            </c:ext>
          </c:extLst>
        </c:ser>
        <c:dLbls>
          <c:dLblPos val="inEnd"/>
          <c:showLegendKey val="0"/>
          <c:showVal val="1"/>
          <c:showCatName val="0"/>
          <c:showSerName val="0"/>
          <c:showPercent val="0"/>
          <c:showBubbleSize val="0"/>
        </c:dLbls>
        <c:gapWidth val="65"/>
        <c:axId val="2113225056"/>
        <c:axId val="2113208736"/>
      </c:barChart>
      <c:catAx>
        <c:axId val="21132250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2113208736"/>
        <c:crosses val="autoZero"/>
        <c:auto val="1"/>
        <c:lblAlgn val="ctr"/>
        <c:lblOffset val="100"/>
        <c:noMultiLvlLbl val="0"/>
      </c:catAx>
      <c:valAx>
        <c:axId val="21132087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3225056"/>
        <c:crosses val="autoZero"/>
        <c:crossBetween val="between"/>
      </c:valAx>
      <c:spPr>
        <a:solidFill>
          <a:schemeClr val="tx1">
            <a:lumMod val="75000"/>
            <a:lumOff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[Blinkit_Uncleaned_dataset.xlsx]Product Name Chart!PivotTable4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pRODUCT</a:t>
            </a:r>
            <a:r>
              <a:rPr lang="en-US" baseline="0"/>
              <a:t> NAME WISE TOTAL</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Name Chart'!$B$3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 Name Chart'!$A$4:$A$12</c:f>
              <c:strCache>
                <c:ptCount val="9"/>
                <c:pt idx="0">
                  <c:v>Apple</c:v>
                </c:pt>
                <c:pt idx="1">
                  <c:v>Banana</c:v>
                </c:pt>
                <c:pt idx="2">
                  <c:v>Bread</c:v>
                </c:pt>
                <c:pt idx="3">
                  <c:v>Chips</c:v>
                </c:pt>
                <c:pt idx="4">
                  <c:v>Curd</c:v>
                </c:pt>
                <c:pt idx="5">
                  <c:v>Milk 1L</c:v>
                </c:pt>
                <c:pt idx="6">
                  <c:v>Paneer</c:v>
                </c:pt>
                <c:pt idx="7">
                  <c:v>Potato</c:v>
                </c:pt>
                <c:pt idx="8">
                  <c:v>Rice 5kg</c:v>
                </c:pt>
              </c:strCache>
            </c:strRef>
          </c:cat>
          <c:val>
            <c:numRef>
              <c:f>'Product Name Chart'!$B$4:$B$12</c:f>
              <c:numCache>
                <c:formatCode>General</c:formatCode>
                <c:ptCount val="9"/>
                <c:pt idx="0">
                  <c:v>11441</c:v>
                </c:pt>
                <c:pt idx="1">
                  <c:v>12882</c:v>
                </c:pt>
                <c:pt idx="2">
                  <c:v>14540</c:v>
                </c:pt>
                <c:pt idx="3">
                  <c:v>10779</c:v>
                </c:pt>
                <c:pt idx="4">
                  <c:v>14121</c:v>
                </c:pt>
                <c:pt idx="5">
                  <c:v>16952</c:v>
                </c:pt>
                <c:pt idx="6">
                  <c:v>11376</c:v>
                </c:pt>
                <c:pt idx="7">
                  <c:v>11728</c:v>
                </c:pt>
                <c:pt idx="8">
                  <c:v>9263</c:v>
                </c:pt>
              </c:numCache>
            </c:numRef>
          </c:val>
          <c:smooth val="0"/>
          <c:extLst>
            <c:ext xmlns:c16="http://schemas.microsoft.com/office/drawing/2014/chart" uri="{C3380CC4-5D6E-409C-BE32-E72D297353CC}">
              <c16:uniqueId val="{00000000-E92B-42C0-BD9B-D34D36FF119D}"/>
            </c:ext>
          </c:extLst>
        </c:ser>
        <c:dLbls>
          <c:showLegendKey val="0"/>
          <c:showVal val="0"/>
          <c:showCatName val="0"/>
          <c:showSerName val="0"/>
          <c:showPercent val="0"/>
          <c:showBubbleSize val="0"/>
        </c:dLbls>
        <c:dropLines>
          <c:spPr>
            <a:ln w="9525" cap="flat" cmpd="sng" algn="ctr">
              <a:solidFill>
                <a:srgbClr val="92D050"/>
              </a:solidFill>
              <a:round/>
            </a:ln>
            <a:effectLst/>
          </c:spPr>
        </c:dropLines>
        <c:marker val="1"/>
        <c:smooth val="0"/>
        <c:axId val="42181888"/>
        <c:axId val="42179968"/>
      </c:lineChart>
      <c:catAx>
        <c:axId val="421818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rgbClr val="FFFF00"/>
                </a:solidFill>
                <a:latin typeface="+mn-lt"/>
                <a:ea typeface="+mn-ea"/>
                <a:cs typeface="+mn-cs"/>
              </a:defRPr>
            </a:pPr>
            <a:endParaRPr lang="en-US"/>
          </a:p>
        </c:txPr>
        <c:crossAx val="42179968"/>
        <c:crosses val="autoZero"/>
        <c:auto val="1"/>
        <c:lblAlgn val="ctr"/>
        <c:lblOffset val="100"/>
        <c:noMultiLvlLbl val="0"/>
      </c:catAx>
      <c:valAx>
        <c:axId val="4217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crossAx val="42181888"/>
        <c:crosses val="autoZero"/>
        <c:crossBetween val="between"/>
      </c:valAx>
      <c:spPr>
        <a:solidFill>
          <a:schemeClr val="tx1">
            <a:lumMod val="75000"/>
            <a:lumOff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[Blinkit_Uncleaned_dataset.xlsx]Payment Mode Chart!PivotTable6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Mode Wise Total Payable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'Payment Mode Chart'!$B$3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C0D-4942-9BF9-6096A2B0FE2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0D-4942-9BF9-6096A2B0FE2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0D-4942-9BF9-6096A2B0FE2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C0D-4942-9BF9-6096A2B0FE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Mode Chart'!$A$4:$A$7</c:f>
              <c:strCache>
                <c:ptCount val="4"/>
                <c:pt idx="0">
                  <c:v>Card</c:v>
                </c:pt>
                <c:pt idx="1">
                  <c:v>COD</c:v>
                </c:pt>
                <c:pt idx="2">
                  <c:v>UPI</c:v>
                </c:pt>
                <c:pt idx="3">
                  <c:v>Wallet</c:v>
                </c:pt>
              </c:strCache>
            </c:strRef>
          </c:cat>
          <c:val>
            <c:numRef>
              <c:f>'Payment Mode Chart'!$B$4:$B$7</c:f>
              <c:numCache>
                <c:formatCode>General</c:formatCode>
                <c:ptCount val="4"/>
                <c:pt idx="0">
                  <c:v>23041</c:v>
                </c:pt>
                <c:pt idx="1">
                  <c:v>22789</c:v>
                </c:pt>
                <c:pt idx="2">
                  <c:v>43438</c:v>
                </c:pt>
                <c:pt idx="3">
                  <c:v>23814</c:v>
                </c:pt>
              </c:numCache>
            </c:numRef>
          </c:val>
          <c:extLst>
            <c:ext xmlns:c16="http://schemas.microsoft.com/office/drawing/2014/chart" uri="{C3380CC4-5D6E-409C-BE32-E72D297353CC}">
              <c16:uniqueId val="{00000008-6C0D-4942-9BF9-6096A2B0FE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[Blinkit_Uncleaned_dataset.xlsx]Days Wise Total Value!PivotTable7</c:name>
    <c:fmtId val="7"/>
  </c:pivotSource>
  <c:chart>
    <c:title>
      <c:tx>
        <c:rich>
          <a:bodyPr rot="0" spcFirstLastPara="1" vertOverflow="ellipsis" vert="horz" wrap="square" anchor="ctr" anchorCtr="1"/>
          <a:lstStyle/>
          <a:p>
            <a:pPr>
              <a:defRPr sz="1800" b="0" i="0" u="none" strike="noStrike" kern="1200" cap="all" baseline="0">
                <a:solidFill>
                  <a:srgbClr val="FFC000"/>
                </a:solidFill>
                <a:latin typeface="+mn-lt"/>
                <a:ea typeface="+mn-ea"/>
                <a:cs typeface="+mn-cs"/>
              </a:defRPr>
            </a:pPr>
            <a:r>
              <a:rPr lang="en-US">
                <a:solidFill>
                  <a:srgbClr val="FFC000"/>
                </a:solidFill>
              </a:rPr>
              <a:t>Check The Days Wise Total Value</a:t>
            </a:r>
          </a:p>
        </c:rich>
      </c:tx>
      <c:overlay val="0"/>
      <c:spPr>
        <a:noFill/>
        <a:ln>
          <a:noFill/>
        </a:ln>
        <a:effectLst/>
      </c:spPr>
      <c:txPr>
        <a:bodyPr rot="0" spcFirstLastPara="1" vertOverflow="ellipsis" vert="horz" wrap="square" anchor="ctr" anchorCtr="1"/>
        <a:lstStyle/>
        <a:p>
          <a:pPr>
            <a:defRPr sz="1800" b="0" i="0" u="none" strike="noStrike" kern="1200" cap="all" baseline="0">
              <a:solidFill>
                <a:srgbClr val="FFC000"/>
              </a:solidFill>
              <a:latin typeface="+mn-lt"/>
              <a:ea typeface="+mn-ea"/>
              <a:cs typeface="+mn-cs"/>
            </a:defRPr>
          </a:pPr>
          <a:endParaRPr lang="en-US"/>
        </a:p>
      </c:txPr>
    </c:title>
    <c:autoTitleDeleted val="0"/>
    <c:pivotFmts>
      <c:pivotFmt>
        <c:idx val="0"/>
        <c:spPr>
          <a:solidFill>
            <a:schemeClr val="bg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solidFill>
          <a:schemeClr val="tx1">
            <a:lumMod val="50000"/>
            <a:lumOff val="50000"/>
          </a:schemeClr>
        </a:solidFill>
        <a:ln>
          <a:noFill/>
        </a:ln>
        <a:effectLst/>
        <a:sp3d/>
      </c:spPr>
    </c:sideWall>
    <c:backWall>
      <c:thickness val="0"/>
      <c:spPr>
        <a:solidFill>
          <a:schemeClr val="tx1">
            <a:lumMod val="50000"/>
            <a:lumOff val="50000"/>
          </a:schemeClr>
        </a:solidFill>
        <a:ln>
          <a:noFill/>
        </a:ln>
        <a:effectLst/>
        <a:sp3d/>
      </c:spPr>
    </c:backWall>
    <c:plotArea>
      <c:layout/>
      <c:bar3DChart>
        <c:barDir val="col"/>
        <c:grouping val="clustered"/>
        <c:varyColors val="0"/>
        <c:ser>
          <c:idx val="0"/>
          <c:order val="0"/>
          <c:tx>
            <c:strRef>
              <c:f>'Days Wise Total Value'!$B$3</c:f>
              <c:strCache>
                <c:ptCount val="1"/>
                <c:pt idx="0">
                  <c:v>Total</c:v>
                </c:pt>
              </c:strCache>
            </c:strRef>
          </c:tx>
          <c:spPr>
            <a:solidFill>
              <a:schemeClr val="bg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'Days Wise Total Value'!$A$4:$A$5</c:f>
              <c:strCache>
                <c:ptCount val="2"/>
                <c:pt idx="0">
                  <c:v>Weekday</c:v>
                </c:pt>
                <c:pt idx="1">
                  <c:v>Weekend</c:v>
                </c:pt>
              </c:strCache>
            </c:strRef>
          </c:cat>
          <c:val>
            <c:numRef>
              <c:f>'Days Wise Total Value'!$B$4:$B$5</c:f>
              <c:numCache>
                <c:formatCode>General</c:formatCode>
                <c:ptCount val="2"/>
                <c:pt idx="0">
                  <c:v>79978</c:v>
                </c:pt>
                <c:pt idx="1">
                  <c:v>33104</c:v>
                </c:pt>
              </c:numCache>
            </c:numRef>
          </c:val>
          <c:extLst>
            <c:ext xmlns:c16="http://schemas.microsoft.com/office/drawing/2014/chart" uri="{C3380CC4-5D6E-409C-BE32-E72D297353CC}">
              <c16:uniqueId val="{00000000-F5DD-4E05-A80C-04AFB42D207D}"/>
            </c:ext>
          </c:extLst>
        </c:ser>
        <c:dLbls>
          <c:showLegendKey val="0"/>
          <c:showVal val="1"/>
          <c:showCatName val="0"/>
          <c:showSerName val="0"/>
          <c:showPercent val="0"/>
          <c:showBubbleSize val="0"/>
        </c:dLbls>
        <c:gapWidth val="84"/>
        <c:gapDepth val="53"/>
        <c:shape val="box"/>
        <c:axId val="2092097232"/>
        <c:axId val="2092093872"/>
        <c:axId val="0"/>
      </c:bar3DChart>
      <c:catAx>
        <c:axId val="209209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2092093872"/>
        <c:crosses val="autoZero"/>
        <c:auto val="1"/>
        <c:lblAlgn val="ctr"/>
        <c:lblOffset val="100"/>
        <c:noMultiLvlLbl val="0"/>
      </c:catAx>
      <c:valAx>
        <c:axId val="2092093872"/>
        <c:scaling>
          <c:orientation val="minMax"/>
        </c:scaling>
        <c:delete val="1"/>
        <c:axPos val="l"/>
        <c:numFmt formatCode="General" sourceLinked="1"/>
        <c:majorTickMark val="out"/>
        <c:minorTickMark val="none"/>
        <c:tickLblPos val="nextTo"/>
        <c:crossAx val="209209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114300</xdr:colOff>
      <xdr:row>5</xdr:row>
      <xdr:rowOff>30480</xdr:rowOff>
    </xdr:from>
    <xdr:to>
      <xdr:col>10</xdr:col>
      <xdr:colOff>419100</xdr:colOff>
      <xdr:row>20</xdr:row>
      <xdr:rowOff>30480</xdr:rowOff>
    </xdr:to>
    <xdr:graphicFrame macro="">
      <xdr:nvGraphicFramePr>
        <xdr:cNvPr id="2" name="Chart 1">
          <a:extLst>
            <a:ext uri="{FF2B5EF4-FFF2-40B4-BE49-F238E27FC236}">
              <a16:creationId xmlns:a16="http://schemas.microsoft.com/office/drawing/2014/main" id="{EF2C0E68-F3AB-F4D1-B3B9-ACC2A8D2B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4</xdr:row>
      <xdr:rowOff>137160</xdr:rowOff>
    </xdr:from>
    <xdr:to>
      <xdr:col>11</xdr:col>
      <xdr:colOff>228600</xdr:colOff>
      <xdr:row>19</xdr:row>
      <xdr:rowOff>137160</xdr:rowOff>
    </xdr:to>
    <xdr:graphicFrame macro="">
      <xdr:nvGraphicFramePr>
        <xdr:cNvPr id="2" name="Chart 1">
          <a:extLst>
            <a:ext uri="{FF2B5EF4-FFF2-40B4-BE49-F238E27FC236}">
              <a16:creationId xmlns:a16="http://schemas.microsoft.com/office/drawing/2014/main" id="{FF3E33CD-7A91-4C3D-0387-B2EE851C0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4</xdr:row>
      <xdr:rowOff>45720</xdr:rowOff>
    </xdr:from>
    <xdr:to>
      <xdr:col>11</xdr:col>
      <xdr:colOff>228600</xdr:colOff>
      <xdr:row>19</xdr:row>
      <xdr:rowOff>45720</xdr:rowOff>
    </xdr:to>
    <xdr:graphicFrame macro="">
      <xdr:nvGraphicFramePr>
        <xdr:cNvPr id="2" name="Chart 1">
          <a:extLst>
            <a:ext uri="{FF2B5EF4-FFF2-40B4-BE49-F238E27FC236}">
              <a16:creationId xmlns:a16="http://schemas.microsoft.com/office/drawing/2014/main" id="{2AB90FF2-79AE-B1B3-D202-05717E7A0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518160</xdr:colOff>
      <xdr:row>4</xdr:row>
      <xdr:rowOff>137160</xdr:rowOff>
    </xdr:from>
    <xdr:to>
      <xdr:col>10</xdr:col>
      <xdr:colOff>213360</xdr:colOff>
      <xdr:row>19</xdr:row>
      <xdr:rowOff>137160</xdr:rowOff>
    </xdr:to>
    <xdr:graphicFrame macro="">
      <xdr:nvGraphicFramePr>
        <xdr:cNvPr id="2" name="Chart 1">
          <a:extLst>
            <a:ext uri="{FF2B5EF4-FFF2-40B4-BE49-F238E27FC236}">
              <a16:creationId xmlns:a16="http://schemas.microsoft.com/office/drawing/2014/main" id="{EBB11416-9992-0B1B-C921-393AE7C90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396240</xdr:colOff>
      <xdr:row>4</xdr:row>
      <xdr:rowOff>137160</xdr:rowOff>
    </xdr:from>
    <xdr:to>
      <xdr:col>10</xdr:col>
      <xdr:colOff>91440</xdr:colOff>
      <xdr:row>19</xdr:row>
      <xdr:rowOff>137160</xdr:rowOff>
    </xdr:to>
    <xdr:graphicFrame macro="">
      <xdr:nvGraphicFramePr>
        <xdr:cNvPr id="2" name="Chart 1">
          <a:extLst>
            <a:ext uri="{FF2B5EF4-FFF2-40B4-BE49-F238E27FC236}">
              <a16:creationId xmlns:a16="http://schemas.microsoft.com/office/drawing/2014/main" id="{32608312-E4DA-0A58-5DEC-BD9025AF2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4</xdr:row>
      <xdr:rowOff>114300</xdr:rowOff>
    </xdr:from>
    <xdr:to>
      <xdr:col>10</xdr:col>
      <xdr:colOff>327660</xdr:colOff>
      <xdr:row>19</xdr:row>
      <xdr:rowOff>114300</xdr:rowOff>
    </xdr:to>
    <xdr:graphicFrame macro="">
      <xdr:nvGraphicFramePr>
        <xdr:cNvPr id="2" name="Chart 1">
          <a:extLst>
            <a:ext uri="{FF2B5EF4-FFF2-40B4-BE49-F238E27FC236}">
              <a16:creationId xmlns:a16="http://schemas.microsoft.com/office/drawing/2014/main" id="{25EB8755-14B0-986A-73FD-FBD360EE1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396240</xdr:colOff>
      <xdr:row>4</xdr:row>
      <xdr:rowOff>137160</xdr:rowOff>
    </xdr:from>
    <xdr:to>
      <xdr:col>10</xdr:col>
      <xdr:colOff>91440</xdr:colOff>
      <xdr:row>19</xdr:row>
      <xdr:rowOff>137160</xdr:rowOff>
    </xdr:to>
    <xdr:graphicFrame macro="">
      <xdr:nvGraphicFramePr>
        <xdr:cNvPr id="2" name="Chart 1">
          <a:extLst>
            <a:ext uri="{FF2B5EF4-FFF2-40B4-BE49-F238E27FC236}">
              <a16:creationId xmlns:a16="http://schemas.microsoft.com/office/drawing/2014/main" id="{F4495933-8706-2F08-471C-A7A5C6C30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72571</xdr:colOff>
      <xdr:row>6</xdr:row>
      <xdr:rowOff>48381</xdr:rowOff>
    </xdr:from>
    <xdr:to>
      <xdr:col>15</xdr:col>
      <xdr:colOff>377370</xdr:colOff>
      <xdr:row>21</xdr:row>
      <xdr:rowOff>48381</xdr:rowOff>
    </xdr:to>
    <xdr:graphicFrame macro="">
      <xdr:nvGraphicFramePr>
        <xdr:cNvPr id="3" name="Chart 2">
          <a:extLst>
            <a:ext uri="{FF2B5EF4-FFF2-40B4-BE49-F238E27FC236}">
              <a16:creationId xmlns:a16="http://schemas.microsoft.com/office/drawing/2014/main" id="{60CA1BAC-A5E1-416F-928F-1CFFEFC56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569459</xdr:colOff>
      <xdr:row>6</xdr:row>
      <xdr:rowOff>39430</xdr:rowOff>
    </xdr:from>
    <xdr:to>
      <xdr:col>31</xdr:col>
      <xdr:colOff>262201</xdr:colOff>
      <xdr:row>21</xdr:row>
      <xdr:rowOff>39430</xdr:rowOff>
    </xdr:to>
    <xdr:graphicFrame macro="">
      <xdr:nvGraphicFramePr>
        <xdr:cNvPr id="5" name="Chart 4">
          <a:extLst>
            <a:ext uri="{FF2B5EF4-FFF2-40B4-BE49-F238E27FC236}">
              <a16:creationId xmlns:a16="http://schemas.microsoft.com/office/drawing/2014/main" id="{2B55AC24-0B2D-482C-BF27-697FF2EA5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39399</xdr:colOff>
      <xdr:row>6</xdr:row>
      <xdr:rowOff>57249</xdr:rowOff>
    </xdr:from>
    <xdr:to>
      <xdr:col>23</xdr:col>
      <xdr:colOff>346657</xdr:colOff>
      <xdr:row>21</xdr:row>
      <xdr:rowOff>57249</xdr:rowOff>
    </xdr:to>
    <xdr:graphicFrame macro="">
      <xdr:nvGraphicFramePr>
        <xdr:cNvPr id="7" name="Chart 6">
          <a:extLst>
            <a:ext uri="{FF2B5EF4-FFF2-40B4-BE49-F238E27FC236}">
              <a16:creationId xmlns:a16="http://schemas.microsoft.com/office/drawing/2014/main" id="{D6FEF60F-BA7B-448E-9B62-161786119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217714</xdr:colOff>
      <xdr:row>21</xdr:row>
      <xdr:rowOff>127242</xdr:rowOff>
    </xdr:from>
    <xdr:to>
      <xdr:col>7</xdr:col>
      <xdr:colOff>522514</xdr:colOff>
      <xdr:row>36</xdr:row>
      <xdr:rowOff>127241</xdr:rowOff>
    </xdr:to>
    <xdr:graphicFrame macro="">
      <xdr:nvGraphicFramePr>
        <xdr:cNvPr id="9" name="Chart 8">
          <a:extLst>
            <a:ext uri="{FF2B5EF4-FFF2-40B4-BE49-F238E27FC236}">
              <a16:creationId xmlns:a16="http://schemas.microsoft.com/office/drawing/2014/main" id="{A9EB2618-9220-4356-AEEB-CD2E8FF66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86723</xdr:colOff>
      <xdr:row>21</xdr:row>
      <xdr:rowOff>162197</xdr:rowOff>
    </xdr:from>
    <xdr:to>
      <xdr:col>15</xdr:col>
      <xdr:colOff>386684</xdr:colOff>
      <xdr:row>36</xdr:row>
      <xdr:rowOff>162196</xdr:rowOff>
    </xdr:to>
    <xdr:graphicFrame macro="">
      <xdr:nvGraphicFramePr>
        <xdr:cNvPr id="11" name="Chart 10">
          <a:extLst>
            <a:ext uri="{FF2B5EF4-FFF2-40B4-BE49-F238E27FC236}">
              <a16:creationId xmlns:a16="http://schemas.microsoft.com/office/drawing/2014/main" id="{136546DF-CEEF-49B8-9D41-D13C64865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34229</xdr:colOff>
      <xdr:row>21</xdr:row>
      <xdr:rowOff>165343</xdr:rowOff>
    </xdr:from>
    <xdr:to>
      <xdr:col>23</xdr:col>
      <xdr:colOff>334191</xdr:colOff>
      <xdr:row>36</xdr:row>
      <xdr:rowOff>165342</xdr:rowOff>
    </xdr:to>
    <xdr:graphicFrame macro="">
      <xdr:nvGraphicFramePr>
        <xdr:cNvPr id="13" name="Chart 12">
          <a:extLst>
            <a:ext uri="{FF2B5EF4-FFF2-40B4-BE49-F238E27FC236}">
              <a16:creationId xmlns:a16="http://schemas.microsoft.com/office/drawing/2014/main" id="{BFE49D61-E11E-4F58-9A93-48964B6F3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580572</xdr:colOff>
      <xdr:row>21</xdr:row>
      <xdr:rowOff>157238</xdr:rowOff>
    </xdr:from>
    <xdr:to>
      <xdr:col>31</xdr:col>
      <xdr:colOff>314477</xdr:colOff>
      <xdr:row>36</xdr:row>
      <xdr:rowOff>179009</xdr:rowOff>
    </xdr:to>
    <xdr:graphicFrame macro="">
      <xdr:nvGraphicFramePr>
        <xdr:cNvPr id="15" name="Chart 14">
          <a:extLst>
            <a:ext uri="{FF2B5EF4-FFF2-40B4-BE49-F238E27FC236}">
              <a16:creationId xmlns:a16="http://schemas.microsoft.com/office/drawing/2014/main" id="{D1389E12-945C-44AE-BEEF-F8145150B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290286</xdr:colOff>
      <xdr:row>6</xdr:row>
      <xdr:rowOff>12336</xdr:rowOff>
    </xdr:from>
    <xdr:to>
      <xdr:col>3</xdr:col>
      <xdr:colOff>304800</xdr:colOff>
      <xdr:row>9</xdr:row>
      <xdr:rowOff>71436</xdr:rowOff>
    </xdr:to>
    <mc:AlternateContent xmlns:mc="http://schemas.openxmlformats.org/markup-compatibility/2006" xmlns:a14="http://schemas.microsoft.com/office/drawing/2010/main">
      <mc:Choice Requires="a14">
        <xdr:graphicFrame macro="">
          <xdr:nvGraphicFramePr>
            <xdr:cNvPr id="16" name="Order_Date">
              <a:extLst>
                <a:ext uri="{FF2B5EF4-FFF2-40B4-BE49-F238E27FC236}">
                  <a16:creationId xmlns:a16="http://schemas.microsoft.com/office/drawing/2014/main" id="{5C9A199C-DAA7-856E-1FE0-903D0CAF81ED}"/>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290286" y="1083899"/>
              <a:ext cx="1836170" cy="594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291858</xdr:colOff>
      <xdr:row>9</xdr:row>
      <xdr:rowOff>154781</xdr:rowOff>
    </xdr:from>
    <xdr:to>
      <xdr:col>3</xdr:col>
      <xdr:colOff>306372</xdr:colOff>
      <xdr:row>13</xdr:row>
      <xdr:rowOff>11906</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A83B5AD8-141B-084C-CD11-E43D92C54F1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91858" y="1762125"/>
              <a:ext cx="183617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300204</xdr:colOff>
      <xdr:row>13</xdr:row>
      <xdr:rowOff>25279</xdr:rowOff>
    </xdr:from>
    <xdr:to>
      <xdr:col>3</xdr:col>
      <xdr:colOff>314718</xdr:colOff>
      <xdr:row>16</xdr:row>
      <xdr:rowOff>60476</xdr:rowOff>
    </xdr:to>
    <mc:AlternateContent xmlns:mc="http://schemas.openxmlformats.org/markup-compatibility/2006" xmlns:a14="http://schemas.microsoft.com/office/drawing/2010/main">
      <mc:Choice Requires="a14">
        <xdr:graphicFrame macro="">
          <xdr:nvGraphicFramePr>
            <xdr:cNvPr id="19" name="Product_Name">
              <a:extLst>
                <a:ext uri="{FF2B5EF4-FFF2-40B4-BE49-F238E27FC236}">
                  <a16:creationId xmlns:a16="http://schemas.microsoft.com/office/drawing/2014/main" id="{CA6CDC9D-E970-DD83-F4EA-B266B91A53E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300204" y="2346998"/>
              <a:ext cx="1836170" cy="570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16</xdr:row>
      <xdr:rowOff>138733</xdr:rowOff>
    </xdr:from>
    <xdr:to>
      <xdr:col>3</xdr:col>
      <xdr:colOff>319314</xdr:colOff>
      <xdr:row>20</xdr:row>
      <xdr:rowOff>12097</xdr:rowOff>
    </xdr:to>
    <mc:AlternateContent xmlns:mc="http://schemas.openxmlformats.org/markup-compatibility/2006" xmlns:a14="http://schemas.microsoft.com/office/drawing/2010/main">
      <mc:Choice Requires="a14">
        <xdr:graphicFrame macro="">
          <xdr:nvGraphicFramePr>
            <xdr:cNvPr id="21" name="Payment_Mode">
              <a:extLst>
                <a:ext uri="{FF2B5EF4-FFF2-40B4-BE49-F238E27FC236}">
                  <a16:creationId xmlns:a16="http://schemas.microsoft.com/office/drawing/2014/main" id="{D5BA1705-159D-B635-C450-A7231E504E7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304800" y="2996233"/>
              <a:ext cx="1836170" cy="58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29511</xdr:colOff>
      <xdr:row>6</xdr:row>
      <xdr:rowOff>12942</xdr:rowOff>
    </xdr:from>
    <xdr:to>
      <xdr:col>7</xdr:col>
      <xdr:colOff>44026</xdr:colOff>
      <xdr:row>9</xdr:row>
      <xdr:rowOff>36286</xdr:rowOff>
    </xdr:to>
    <mc:AlternateContent xmlns:mc="http://schemas.openxmlformats.org/markup-compatibility/2006" xmlns:a14="http://schemas.microsoft.com/office/drawing/2010/main">
      <mc:Choice Requires="a14">
        <xdr:graphicFrame macro="">
          <xdr:nvGraphicFramePr>
            <xdr:cNvPr id="22" name="Order_ID">
              <a:extLst>
                <a:ext uri="{FF2B5EF4-FFF2-40B4-BE49-F238E27FC236}">
                  <a16:creationId xmlns:a16="http://schemas.microsoft.com/office/drawing/2014/main" id="{63E1BFC5-921D-1812-C9B5-0D7547A43270}"/>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mlns="">
        <xdr:sp macro="" textlink="">
          <xdr:nvSpPr>
            <xdr:cNvPr id="0" name=""/>
            <xdr:cNvSpPr>
              <a:spLocks noTextEdit="1"/>
            </xdr:cNvSpPr>
          </xdr:nvSpPr>
          <xdr:spPr>
            <a:xfrm>
              <a:off x="2458386" y="1084505"/>
              <a:ext cx="1836171" cy="55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25763</xdr:colOff>
      <xdr:row>9</xdr:row>
      <xdr:rowOff>142240</xdr:rowOff>
    </xdr:from>
    <xdr:to>
      <xdr:col>7</xdr:col>
      <xdr:colOff>40278</xdr:colOff>
      <xdr:row>12</xdr:row>
      <xdr:rowOff>169334</xdr:rowOff>
    </xdr:to>
    <mc:AlternateContent xmlns:mc="http://schemas.openxmlformats.org/markup-compatibility/2006" xmlns:a14="http://schemas.microsoft.com/office/drawing/2010/main">
      <mc:Choice Requires="a14">
        <xdr:graphicFrame macro="">
          <xdr:nvGraphicFramePr>
            <xdr:cNvPr id="23" name="day name">
              <a:extLst>
                <a:ext uri="{FF2B5EF4-FFF2-40B4-BE49-F238E27FC236}">
                  <a16:creationId xmlns:a16="http://schemas.microsoft.com/office/drawing/2014/main" id="{EA32C772-6C0D-896E-95F3-7350F7A6882F}"/>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454638" y="1749584"/>
              <a:ext cx="1836171" cy="562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22202</xdr:colOff>
      <xdr:row>13</xdr:row>
      <xdr:rowOff>78582</xdr:rowOff>
    </xdr:from>
    <xdr:to>
      <xdr:col>7</xdr:col>
      <xdr:colOff>36717</xdr:colOff>
      <xdr:row>16</xdr:row>
      <xdr:rowOff>85234</xdr:rowOff>
    </xdr:to>
    <mc:AlternateContent xmlns:mc="http://schemas.openxmlformats.org/markup-compatibility/2006" xmlns:a14="http://schemas.microsoft.com/office/drawing/2010/main">
      <mc:Choice Requires="a14">
        <xdr:graphicFrame macro="">
          <xdr:nvGraphicFramePr>
            <xdr:cNvPr id="24" name="Customer_ID">
              <a:extLst>
                <a:ext uri="{FF2B5EF4-FFF2-40B4-BE49-F238E27FC236}">
                  <a16:creationId xmlns:a16="http://schemas.microsoft.com/office/drawing/2014/main" id="{05A1045E-7DD6-4882-175D-9B45E71EDCAF}"/>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2451077" y="2400301"/>
              <a:ext cx="1836171" cy="542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6168</xdr:colOff>
      <xdr:row>16</xdr:row>
      <xdr:rowOff>158933</xdr:rowOff>
    </xdr:from>
    <xdr:to>
      <xdr:col>7</xdr:col>
      <xdr:colOff>20683</xdr:colOff>
      <xdr:row>20</xdr:row>
      <xdr:rowOff>12097</xdr:rowOff>
    </xdr:to>
    <mc:AlternateContent xmlns:mc="http://schemas.openxmlformats.org/markup-compatibility/2006" xmlns:a14="http://schemas.microsoft.com/office/drawing/2010/main">
      <mc:Choice Requires="a14">
        <xdr:graphicFrame macro="">
          <xdr:nvGraphicFramePr>
            <xdr:cNvPr id="25" name="Quantity">
              <a:extLst>
                <a:ext uri="{FF2B5EF4-FFF2-40B4-BE49-F238E27FC236}">
                  <a16:creationId xmlns:a16="http://schemas.microsoft.com/office/drawing/2014/main" id="{791C4A99-0196-FFC0-FF6A-6C26BA5E2ED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2435043" y="3016433"/>
              <a:ext cx="1836171" cy="567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T" refreshedDate="46024.823038078706" createdVersion="8" refreshedVersion="8" minRefreshableVersion="3" recordCount="500" xr:uid="{782BE823-2080-4501-B30F-605CD8588B54}">
  <cacheSource type="worksheet">
    <worksheetSource ref="A1:X501" sheet="Uncleaned_Blinkit_Data"/>
  </cacheSource>
  <cacheFields count="26">
    <cacheField name="Order_ID" numFmtId="0">
      <sharedItems count="5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haredItems>
    </cacheField>
    <cacheField name="Order_Date" numFmtId="14">
      <sharedItems containsSemiMixedTypes="0" containsNonDate="0" containsDate="1" containsString="0" minDate="2025-01-01T00:00:00" maxDate="2025-01-12T00:00:00" count="11">
        <d v="2025-01-08T00:00:00"/>
        <d v="2025-01-06T00:00:00"/>
        <d v="2025-01-02T00:00:00"/>
        <d v="2025-01-11T00:00:00"/>
        <d v="2025-01-09T00:00:00"/>
        <d v="2025-01-10T00:00:00"/>
        <d v="2025-01-04T00:00:00"/>
        <d v="2025-01-07T00:00:00"/>
        <d v="2025-01-03T00:00:00"/>
        <d v="2025-01-01T00:00:00"/>
        <d v="2025-01-05T00:00:00"/>
      </sharedItems>
    </cacheField>
    <cacheField name="day" numFmtId="0">
      <sharedItems containsSemiMixedTypes="0" containsString="0" containsNumber="1" containsInteger="1" minValue="1" maxValue="11"/>
    </cacheField>
    <cacheField name="month" numFmtId="0">
      <sharedItems containsSemiMixedTypes="0" containsString="0" containsNumber="1" containsInteger="1" minValue="1" maxValue="1"/>
    </cacheField>
    <cacheField name="year" numFmtId="0">
      <sharedItems containsSemiMixedTypes="0" containsString="0" containsNumber="1" containsInteger="1" minValue="2025" maxValue="2025"/>
    </cacheField>
    <cacheField name="month name" numFmtId="0">
      <sharedItems/>
    </cacheField>
    <cacheField name="day name" numFmtId="0">
      <sharedItems count="7">
        <s v="Wed"/>
        <s v="Mon"/>
        <s v="Thu"/>
        <s v="Sat"/>
        <s v="Fri"/>
        <s v="Tue"/>
        <s v="Sun"/>
      </sharedItems>
    </cacheField>
    <cacheField name="weekend/weekday" numFmtId="0">
      <sharedItems count="2">
        <s v="Weekday"/>
        <s v="Weekend"/>
      </sharedItems>
    </cacheField>
    <cacheField name="Order_Time" numFmtId="164">
      <sharedItems containsSemiMixedTypes="0" containsNonDate="0" containsDate="1" containsString="0" minDate="1899-12-30T09:05:00" maxDate="1899-12-30T18:45:00" count="4">
        <d v="1899-12-30T18:15:00"/>
        <d v="1899-12-30T09:05:00"/>
        <d v="1899-12-30T18:45:00"/>
        <d v="1899-12-30T10:30:00"/>
      </sharedItems>
      <fieldGroup par="25"/>
    </cacheField>
    <cacheField name="order_time_change" numFmtId="164">
      <sharedItems containsSemiMixedTypes="0" containsNonDate="0" containsDate="1" containsString="0" minDate="1899-12-30T09:05:00" maxDate="1899-12-30T18:45:00"/>
    </cacheField>
    <cacheField name="Customer_ID" numFmtId="0">
      <sharedItems count="5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 v="C201"/>
        <s v="C202"/>
        <s v="C203"/>
        <s v="C204"/>
        <s v="C205"/>
        <s v="C206"/>
        <s v="C207"/>
        <s v="C208"/>
        <s v="C209"/>
        <s v="C210"/>
        <s v="C211"/>
        <s v="C212"/>
        <s v="C213"/>
        <s v="C214"/>
        <s v="C215"/>
        <s v="C216"/>
        <s v="C217"/>
        <s v="C218"/>
        <s v="C219"/>
        <s v="C220"/>
        <s v="C221"/>
        <s v="C222"/>
        <s v="C223"/>
        <s v="C224"/>
        <s v="C225"/>
        <s v="C226"/>
        <s v="C227"/>
        <s v="C228"/>
        <s v="C229"/>
        <s v="C230"/>
        <s v="C231"/>
        <s v="C232"/>
        <s v="C233"/>
        <s v="C234"/>
        <s v="C235"/>
        <s v="C236"/>
        <s v="C237"/>
        <s v="C238"/>
        <s v="C239"/>
        <s v="C240"/>
        <s v="C241"/>
        <s v="C242"/>
        <s v="C243"/>
        <s v="C244"/>
        <s v="C245"/>
        <s v="C246"/>
        <s v="C247"/>
        <s v="C248"/>
        <s v="C249"/>
        <s v="C250"/>
        <s v="C251"/>
        <s v="C252"/>
        <s v="C253"/>
        <s v="C254"/>
        <s v="C255"/>
        <s v="C256"/>
        <s v="C257"/>
        <s v="C258"/>
        <s v="C259"/>
        <s v="C260"/>
        <s v="C261"/>
        <s v="C262"/>
        <s v="C263"/>
        <s v="C264"/>
        <s v="C265"/>
        <s v="C266"/>
        <s v="C267"/>
        <s v="C268"/>
        <s v="C269"/>
        <s v="C270"/>
        <s v="C271"/>
        <s v="C272"/>
        <s v="C273"/>
        <s v="C274"/>
        <s v="C275"/>
        <s v="C276"/>
        <s v="C277"/>
        <s v="C278"/>
        <s v="C279"/>
        <s v="C280"/>
        <s v="C281"/>
        <s v="C282"/>
        <s v="C283"/>
        <s v="C284"/>
        <s v="C285"/>
        <s v="C286"/>
        <s v="C287"/>
        <s v="C288"/>
        <s v="C289"/>
        <s v="C290"/>
        <s v="C291"/>
        <s v="C292"/>
        <s v="C293"/>
        <s v="C294"/>
        <s v="C295"/>
        <s v="C296"/>
        <s v="C297"/>
        <s v="C298"/>
        <s v="C299"/>
        <s v="C300"/>
        <s v="C301"/>
        <s v="C302"/>
        <s v="C303"/>
        <s v="C304"/>
        <s v="C305"/>
        <s v="C306"/>
        <s v="C307"/>
        <s v="C308"/>
        <s v="C309"/>
        <s v="C310"/>
        <s v="C311"/>
        <s v="C312"/>
        <s v="C313"/>
        <s v="C314"/>
        <s v="C315"/>
        <s v="C316"/>
        <s v="C317"/>
        <s v="C318"/>
        <s v="C319"/>
        <s v="C320"/>
        <s v="C321"/>
        <s v="C322"/>
        <s v="C323"/>
        <s v="C324"/>
        <s v="C325"/>
        <s v="C326"/>
        <s v="C327"/>
        <s v="C328"/>
        <s v="C329"/>
        <s v="C330"/>
        <s v="C331"/>
        <s v="C332"/>
        <s v="C333"/>
        <s v="C334"/>
        <s v="C335"/>
        <s v="C336"/>
        <s v="C337"/>
        <s v="C338"/>
        <s v="C339"/>
        <s v="C340"/>
        <s v="C341"/>
        <s v="C342"/>
        <s v="C343"/>
        <s v="C344"/>
        <s v="C345"/>
        <s v="C346"/>
        <s v="C347"/>
        <s v="C348"/>
        <s v="C349"/>
        <s v="C350"/>
        <s v="C351"/>
        <s v="C352"/>
        <s v="C353"/>
        <s v="C354"/>
        <s v="C355"/>
        <s v="C356"/>
        <s v="C357"/>
        <s v="C358"/>
        <s v="C359"/>
        <s v="C360"/>
        <s v="C361"/>
        <s v="C362"/>
        <s v="C363"/>
        <s v="C364"/>
        <s v="C365"/>
        <s v="C366"/>
        <s v="C367"/>
        <s v="C368"/>
        <s v="C369"/>
        <s v="C370"/>
        <s v="C371"/>
        <s v="C372"/>
        <s v="C373"/>
        <s v="C374"/>
        <s v="C375"/>
        <s v="C376"/>
        <s v="C377"/>
        <s v="C378"/>
        <s v="C379"/>
        <s v="C380"/>
        <s v="C381"/>
        <s v="C382"/>
        <s v="C383"/>
        <s v="C384"/>
        <s v="C385"/>
        <s v="C386"/>
        <s v="C387"/>
        <s v="C388"/>
        <s v="C389"/>
        <s v="C390"/>
        <s v="C391"/>
        <s v="C392"/>
        <s v="C393"/>
        <s v="C394"/>
        <s v="C395"/>
        <s v="C396"/>
        <s v="C397"/>
        <s v="C398"/>
        <s v="C399"/>
        <s v="C400"/>
        <s v="C401"/>
        <s v="C402"/>
        <s v="C403"/>
        <s v="C404"/>
        <s v="C405"/>
        <s v="C406"/>
        <s v="C407"/>
        <s v="C408"/>
        <s v="C409"/>
        <s v="C410"/>
        <s v="C411"/>
        <s v="C412"/>
        <s v="C413"/>
        <s v="C414"/>
        <s v="C415"/>
        <s v="C416"/>
        <s v="C417"/>
        <s v="C418"/>
        <s v="C419"/>
        <s v="C420"/>
        <s v="C421"/>
        <s v="C422"/>
        <s v="C423"/>
        <s v="C424"/>
        <s v="C425"/>
        <s v="C426"/>
        <s v="C427"/>
        <s v="C428"/>
        <s v="C429"/>
        <s v="C430"/>
        <s v="C431"/>
        <s v="C432"/>
        <s v="C433"/>
        <s v="C434"/>
        <s v="C435"/>
        <s v="C436"/>
        <s v="C437"/>
        <s v="C438"/>
        <s v="C439"/>
        <s v="C440"/>
        <s v="C441"/>
        <s v="C442"/>
        <s v="C443"/>
        <s v="C444"/>
        <s v="C445"/>
        <s v="C446"/>
        <s v="C447"/>
        <s v="C448"/>
        <s v="C449"/>
        <s v="C450"/>
        <s v="C451"/>
        <s v="C452"/>
        <s v="C453"/>
        <s v="C454"/>
        <s v="C455"/>
        <s v="C456"/>
        <s v="C457"/>
        <s v="C458"/>
        <s v="C459"/>
        <s v="C460"/>
        <s v="C461"/>
        <s v="C462"/>
        <s v="C463"/>
        <s v="C464"/>
        <s v="C465"/>
        <s v="C466"/>
        <s v="C467"/>
        <s v="C468"/>
        <s v="C469"/>
        <s v="C470"/>
        <s v="C471"/>
        <s v="C472"/>
        <s v="C473"/>
        <s v="C474"/>
        <s v="C475"/>
        <s v="C476"/>
        <s v="C477"/>
        <s v="C478"/>
        <s v="C479"/>
        <s v="C480"/>
        <s v="C481"/>
        <s v="C482"/>
        <s v="C483"/>
        <s v="C484"/>
        <s v="C485"/>
        <s v="C486"/>
        <s v="C487"/>
        <s v="C488"/>
        <s v="C489"/>
        <s v="C490"/>
        <s v="C491"/>
        <s v="C492"/>
        <s v="C493"/>
        <s v="C494"/>
        <s v="C495"/>
        <s v="C496"/>
        <s v="C497"/>
        <s v="C498"/>
        <s v="C499"/>
        <s v="C500"/>
      </sharedItems>
    </cacheField>
    <cacheField name="City" numFmtId="0">
      <sharedItems count="7">
        <s v="Bangalore"/>
        <s v="Hyderabad"/>
        <s v="Pune"/>
        <s v="Delhi"/>
        <s v="Chennai"/>
        <s v="kolkata"/>
        <s v="Mumbai"/>
      </sharedItems>
    </cacheField>
    <cacheField name="Area" numFmtId="0">
      <sharedItems/>
    </cacheField>
    <cacheField name="Product_Name" numFmtId="0">
      <sharedItems count="9">
        <s v="Curd"/>
        <s v="Banana"/>
        <s v="Milk 1L"/>
        <s v="Bread"/>
        <s v="Apple"/>
        <s v="Paneer"/>
        <s v="Potato"/>
        <s v="Rice 5kg"/>
        <s v="Chips"/>
      </sharedItems>
    </cacheField>
    <cacheField name="Category" numFmtId="0">
      <sharedItems/>
    </cacheField>
    <cacheField name="Quantity" numFmtId="0">
      <sharedItems containsSemiMixedTypes="0" containsString="0" containsNumber="1" containsInteger="1" minValue="1" maxValue="6" count="6">
        <n v="1"/>
        <n v="6"/>
        <n v="5"/>
        <n v="4"/>
        <n v="2"/>
        <n v="3"/>
      </sharedItems>
    </cacheField>
    <cacheField name="Price_Per_Unit" numFmtId="0">
      <sharedItems containsSemiMixedTypes="0" containsString="0" containsNumber="1" containsInteger="1" minValue="10" maxValue="120"/>
    </cacheField>
    <cacheField name="Total_Product_Value" numFmtId="0">
      <sharedItems containsSemiMixedTypes="0" containsString="0" containsNumber="1" containsInteger="1" minValue="11" maxValue="720"/>
    </cacheField>
    <cacheField name="Discount_Applied" numFmtId="0">
      <sharedItems containsSemiMixedTypes="0" containsString="0" containsNumber="1" containsInteger="1" minValue="0" maxValue="10" count="3">
        <n v="10"/>
        <n v="0"/>
        <n v="5"/>
      </sharedItems>
    </cacheField>
    <cacheField name="Final_Payable_Amount" numFmtId="0">
      <sharedItems containsSemiMixedTypes="0" containsString="0" containsNumber="1" containsInteger="1" minValue="1" maxValue="715" count="302">
        <n v="98"/>
        <n v="132"/>
        <n v="452"/>
        <n v="330"/>
        <n v="112"/>
        <n v="535"/>
        <n v="52"/>
        <n v="15"/>
        <n v="480"/>
        <n v="68"/>
        <n v="642"/>
        <n v="255"/>
        <n v="580"/>
        <n v="315"/>
        <n v="70"/>
        <n v="79"/>
        <n v="374"/>
        <n v="60"/>
        <n v="471"/>
        <n v="379"/>
        <n v="228"/>
        <n v="390"/>
        <n v="99"/>
        <n v="95"/>
        <n v="90"/>
        <n v="198"/>
        <n v="560"/>
        <n v="410"/>
        <n v="64"/>
        <n v="87"/>
        <n v="180"/>
        <n v="104"/>
        <n v="210"/>
        <n v="335"/>
        <n v="42"/>
        <n v="382"/>
        <n v="588"/>
        <n v="504"/>
        <n v="345"/>
        <n v="63"/>
        <n v="69"/>
        <n v="291"/>
        <n v="196"/>
        <n v="340"/>
        <n v="22"/>
        <n v="224"/>
        <n v="251"/>
        <n v="512"/>
        <n v="376"/>
        <n v="50"/>
        <n v="423"/>
        <n v="275"/>
        <n v="82"/>
        <n v="323"/>
        <n v="490"/>
        <n v="88"/>
        <n v="183"/>
        <n v="76"/>
        <n v="77"/>
        <n v="40"/>
        <n v="322"/>
        <n v="372"/>
        <n v="100"/>
        <n v="231"/>
        <n v="91"/>
        <n v="65"/>
        <n v="396"/>
        <n v="59"/>
        <n v="254"/>
        <n v="120"/>
        <n v="234"/>
        <n v="150"/>
        <n v="540"/>
        <n v="207"/>
        <n v="173"/>
        <n v="53"/>
        <n v="464"/>
        <n v="205"/>
        <n v="259"/>
        <n v="405"/>
        <n v="166"/>
        <n v="450"/>
        <n v="280"/>
        <n v="111"/>
        <n v="96"/>
        <n v="75"/>
        <n v="618"/>
        <n v="236"/>
        <n v="292"/>
        <n v="35"/>
        <n v="371"/>
        <n v="337"/>
        <n v="221"/>
        <n v="144"/>
        <n v="320"/>
        <n v="62"/>
        <n v="395"/>
        <n v="162"/>
        <n v="172"/>
        <n v="83"/>
        <n v="93"/>
        <n v="184"/>
        <n v="295"/>
        <n v="34"/>
        <n v="339"/>
        <n v="456"/>
        <n v="160"/>
        <n v="336"/>
        <n v="463"/>
        <n v="44"/>
        <n v="309"/>
        <n v="472"/>
        <n v="624"/>
        <n v="38"/>
        <n v="349"/>
        <n v="55"/>
        <n v="204"/>
        <n v="25"/>
        <n v="92"/>
        <n v="428"/>
        <n v="156"/>
        <n v="163"/>
        <n v="206"/>
        <n v="16"/>
        <n v="71"/>
        <n v="263"/>
        <n v="202"/>
        <n v="127"/>
        <n v="78"/>
        <n v="10"/>
        <n v="81"/>
        <n v="203"/>
        <n v="715"/>
        <n v="80"/>
        <n v="186"/>
        <n v="74"/>
        <n v="326"/>
        <n v="216"/>
        <n v="56"/>
        <n v="19"/>
        <n v="175"/>
        <n v="268"/>
        <n v="316"/>
        <n v="230"/>
        <n v="61"/>
        <n v="138"/>
        <n v="595"/>
        <n v="7"/>
        <n v="260"/>
        <n v="460"/>
        <n v="14"/>
        <n v="165"/>
        <n v="106"/>
        <n v="386"/>
        <n v="375"/>
        <n v="590"/>
        <n v="151"/>
        <n v="54"/>
        <n v="13"/>
        <n v="39"/>
        <n v="250"/>
        <n v="267"/>
        <n v="342"/>
        <n v="286"/>
        <n v="300"/>
        <n v="142"/>
        <n v="188"/>
        <n v="402"/>
        <n v="252"/>
        <n v="565"/>
        <n v="439"/>
        <n v="240"/>
        <n v="103"/>
        <n v="530"/>
        <n v="126"/>
        <n v="89"/>
        <n v="666"/>
        <n v="201"/>
        <n v="152"/>
        <n v="115"/>
        <n v="360"/>
        <n v="208"/>
        <n v="498"/>
        <n v="66"/>
        <n v="110"/>
        <n v="194"/>
        <n v="123"/>
        <n v="438"/>
        <n v="116"/>
        <n v="94"/>
        <n v="200"/>
        <n v="368"/>
        <n v="541"/>
        <n v="140"/>
        <n v="293"/>
        <n v="425"/>
        <n v="193"/>
        <n v="408"/>
        <n v="84"/>
        <n v="33"/>
        <n v="49"/>
        <n v="107"/>
        <n v="136"/>
        <n v="57"/>
        <n v="155"/>
        <n v="12"/>
        <n v="86"/>
        <n v="174"/>
        <n v="271"/>
        <n v="416"/>
        <n v="108"/>
        <n v="432"/>
        <n v="220"/>
        <n v="18"/>
        <n v="328"/>
        <n v="354"/>
        <n v="554"/>
        <n v="72"/>
        <n v="301"/>
        <n v="130"/>
        <n v="102"/>
        <n v="211"/>
        <n v="296"/>
        <n v="302"/>
        <n v="312"/>
        <n v="690"/>
        <n v="331"/>
        <n v="608"/>
        <n v="435"/>
        <n v="122"/>
        <n v="21"/>
        <n v="258"/>
        <n v="235"/>
        <n v="262"/>
        <n v="442"/>
        <n v="209"/>
        <n v="185"/>
        <n v="58"/>
        <n v="404"/>
        <n v="476"/>
        <n v="118"/>
        <n v="440"/>
        <n v="48"/>
        <n v="281"/>
        <n v="351"/>
        <n v="28"/>
        <n v="213"/>
        <n v="314"/>
        <n v="85"/>
        <n v="128"/>
        <n v="47"/>
        <n v="400"/>
        <n v="356"/>
        <n v="361"/>
        <n v="332"/>
        <n v="161"/>
        <n v="284"/>
        <n v="515"/>
        <n v="714"/>
        <n v="290"/>
        <n v="17"/>
        <n v="225"/>
        <n v="242"/>
        <n v="430"/>
        <n v="159"/>
        <n v="545"/>
        <n v="348"/>
        <n v="1"/>
        <n v="9"/>
        <n v="279"/>
        <n v="187"/>
        <n v="282"/>
        <n v="270"/>
        <n v="325"/>
        <n v="385"/>
        <n v="73"/>
        <n v="470"/>
        <n v="158"/>
        <n v="495"/>
        <n v="226"/>
        <n v="195"/>
        <n v="249"/>
        <n v="308"/>
        <n v="214"/>
        <n v="414"/>
        <n v="176"/>
        <n v="500"/>
        <n v="612"/>
        <n v="24"/>
        <n v="51"/>
        <n v="46"/>
        <n v="600"/>
        <n v="350"/>
        <n v="355"/>
        <n v="462"/>
        <n v="266"/>
        <n v="520"/>
        <n v="415"/>
        <n v="660"/>
        <n v="412"/>
        <n v="318"/>
        <n v="303"/>
      </sharedItems>
    </cacheField>
    <cacheField name="Payment_Mode" numFmtId="0">
      <sharedItems count="4">
        <s v="Wallet"/>
        <s v="UPI"/>
        <s v="COD"/>
        <s v="Card"/>
      </sharedItems>
    </cacheField>
    <cacheField name="Delivery_Time_Minutes" numFmtId="0">
      <sharedItems containsSemiMixedTypes="0" containsString="0" containsNumber="1" containsInteger="1" minValue="10" maxValue="60"/>
    </cacheField>
    <cacheField name="Delivery_Status" numFmtId="0">
      <sharedItems count="2">
        <s v="Delivered"/>
        <s v="Late"/>
      </sharedItems>
    </cacheField>
    <cacheField name="Customer_Rating" numFmtId="0">
      <sharedItems containsSemiMixedTypes="0" containsString="0" containsNumber="1" containsInteger="1" minValue="0" maxValue="5"/>
    </cacheField>
    <cacheField name="Minutes (Order_Time)" numFmtId="0" databaseField="0">
      <fieldGroup base="8">
        <rangePr groupBy="minutes" startDate="1899-12-30T09:05:00" endDate="1899-12-30T18:45: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8">
        <rangePr groupBy="hours" startDate="1899-12-30T09:05:00" endDate="1899-12-30T18:45: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62438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8"/>
    <n v="1"/>
    <n v="2025"/>
    <s v="Jan"/>
    <x v="0"/>
    <x v="0"/>
    <x v="0"/>
    <d v="1899-12-30T18:15:00"/>
    <x v="0"/>
    <x v="0"/>
    <s v="Gachibowli"/>
    <x v="0"/>
    <s v="Dairy"/>
    <x v="0"/>
    <n v="108"/>
    <n v="108"/>
    <x v="0"/>
    <x v="0"/>
    <x v="0"/>
    <n v="16"/>
    <x v="0"/>
    <n v="2"/>
  </r>
  <r>
    <x v="1"/>
    <x v="1"/>
    <n v="6"/>
    <n v="1"/>
    <n v="2025"/>
    <s v="Jan"/>
    <x v="1"/>
    <x v="0"/>
    <x v="1"/>
    <d v="1899-12-30T09:05:00"/>
    <x v="1"/>
    <x v="1"/>
    <s v="Dwarka"/>
    <x v="1"/>
    <s v="Fruits"/>
    <x v="1"/>
    <n v="22"/>
    <n v="132"/>
    <x v="1"/>
    <x v="1"/>
    <x v="1"/>
    <n v="37"/>
    <x v="0"/>
    <n v="4"/>
  </r>
  <r>
    <x v="2"/>
    <x v="2"/>
    <n v="2"/>
    <n v="1"/>
    <n v="2025"/>
    <s v="Jan"/>
    <x v="2"/>
    <x v="0"/>
    <x v="0"/>
    <d v="1899-12-30T18:15:00"/>
    <x v="2"/>
    <x v="0"/>
    <s v="Velachery"/>
    <x v="2"/>
    <s v="Dairy"/>
    <x v="1"/>
    <n v="77"/>
    <n v="462"/>
    <x v="0"/>
    <x v="2"/>
    <x v="2"/>
    <n v="23"/>
    <x v="1"/>
    <n v="0"/>
  </r>
  <r>
    <x v="3"/>
    <x v="3"/>
    <n v="11"/>
    <n v="1"/>
    <n v="2025"/>
    <s v="Jan"/>
    <x v="3"/>
    <x v="1"/>
    <x v="0"/>
    <d v="1899-12-30T18:15:00"/>
    <x v="3"/>
    <x v="2"/>
    <s v="Andheri"/>
    <x v="3"/>
    <s v="Bakery"/>
    <x v="2"/>
    <n v="68"/>
    <n v="340"/>
    <x v="0"/>
    <x v="3"/>
    <x v="3"/>
    <n v="37"/>
    <x v="0"/>
    <n v="2"/>
  </r>
  <r>
    <x v="4"/>
    <x v="3"/>
    <n v="11"/>
    <n v="1"/>
    <n v="2025"/>
    <s v="Jan"/>
    <x v="3"/>
    <x v="1"/>
    <x v="2"/>
    <d v="1899-12-30T18:45:00"/>
    <x v="4"/>
    <x v="1"/>
    <s v="Hinjewadi"/>
    <x v="4"/>
    <s v="Fruits"/>
    <x v="3"/>
    <n v="28"/>
    <n v="112"/>
    <x v="1"/>
    <x v="4"/>
    <x v="3"/>
    <n v="26"/>
    <x v="0"/>
    <n v="3"/>
  </r>
  <r>
    <x v="5"/>
    <x v="4"/>
    <n v="9"/>
    <n v="1"/>
    <n v="2025"/>
    <s v="Jan"/>
    <x v="2"/>
    <x v="0"/>
    <x v="2"/>
    <d v="1899-12-30T18:45:00"/>
    <x v="5"/>
    <x v="3"/>
    <s v="Andheri"/>
    <x v="2"/>
    <s v="Dairy"/>
    <x v="2"/>
    <n v="107"/>
    <n v="535"/>
    <x v="1"/>
    <x v="5"/>
    <x v="0"/>
    <n v="31"/>
    <x v="0"/>
    <n v="2"/>
  </r>
  <r>
    <x v="6"/>
    <x v="1"/>
    <n v="6"/>
    <n v="1"/>
    <n v="2025"/>
    <s v="Jan"/>
    <x v="1"/>
    <x v="0"/>
    <x v="2"/>
    <d v="1899-12-30T18:45:00"/>
    <x v="6"/>
    <x v="1"/>
    <s v="Andheri"/>
    <x v="4"/>
    <s v="Fruits"/>
    <x v="4"/>
    <n v="26"/>
    <n v="52"/>
    <x v="1"/>
    <x v="6"/>
    <x v="2"/>
    <n v="44"/>
    <x v="1"/>
    <n v="3"/>
  </r>
  <r>
    <x v="7"/>
    <x v="2"/>
    <n v="2"/>
    <n v="1"/>
    <n v="2025"/>
    <s v="Jan"/>
    <x v="2"/>
    <x v="0"/>
    <x v="0"/>
    <d v="1899-12-30T18:15:00"/>
    <x v="7"/>
    <x v="1"/>
    <s v="Hinjewadi"/>
    <x v="5"/>
    <s v="Dairy"/>
    <x v="0"/>
    <n v="15"/>
    <n v="15"/>
    <x v="1"/>
    <x v="7"/>
    <x v="0"/>
    <n v="52"/>
    <x v="0"/>
    <n v="2"/>
  </r>
  <r>
    <x v="8"/>
    <x v="5"/>
    <n v="10"/>
    <n v="1"/>
    <n v="2025"/>
    <s v="Jan"/>
    <x v="4"/>
    <x v="0"/>
    <x v="3"/>
    <d v="1899-12-30T10:30:00"/>
    <x v="8"/>
    <x v="4"/>
    <s v="Whitefield"/>
    <x v="1"/>
    <s v="Fruits"/>
    <x v="2"/>
    <n v="98"/>
    <n v="490"/>
    <x v="0"/>
    <x v="8"/>
    <x v="1"/>
    <n v="52"/>
    <x v="1"/>
    <n v="5"/>
  </r>
  <r>
    <x v="9"/>
    <x v="2"/>
    <n v="2"/>
    <n v="1"/>
    <n v="2025"/>
    <s v="Jan"/>
    <x v="2"/>
    <x v="0"/>
    <x v="0"/>
    <d v="1899-12-30T18:15:00"/>
    <x v="9"/>
    <x v="0"/>
    <s v="Hinjewadi"/>
    <x v="2"/>
    <s v="Dairy"/>
    <x v="3"/>
    <n v="17"/>
    <n v="68"/>
    <x v="1"/>
    <x v="9"/>
    <x v="1"/>
    <n v="54"/>
    <x v="0"/>
    <n v="4"/>
  </r>
  <r>
    <x v="10"/>
    <x v="4"/>
    <n v="9"/>
    <n v="1"/>
    <n v="2025"/>
    <s v="Jan"/>
    <x v="2"/>
    <x v="0"/>
    <x v="0"/>
    <d v="1899-12-30T18:15:00"/>
    <x v="10"/>
    <x v="1"/>
    <s v="Whitefield"/>
    <x v="3"/>
    <s v="Bakery"/>
    <x v="1"/>
    <n v="107"/>
    <n v="642"/>
    <x v="1"/>
    <x v="10"/>
    <x v="1"/>
    <n v="14"/>
    <x v="0"/>
    <n v="3"/>
  </r>
  <r>
    <x v="11"/>
    <x v="4"/>
    <n v="9"/>
    <n v="1"/>
    <n v="2025"/>
    <s v="Jan"/>
    <x v="2"/>
    <x v="0"/>
    <x v="3"/>
    <d v="1899-12-30T10:30:00"/>
    <x v="11"/>
    <x v="1"/>
    <s v="Dwarka"/>
    <x v="5"/>
    <s v="Dairy"/>
    <x v="2"/>
    <n v="53"/>
    <n v="265"/>
    <x v="0"/>
    <x v="11"/>
    <x v="2"/>
    <n v="29"/>
    <x v="1"/>
    <n v="1"/>
  </r>
  <r>
    <x v="12"/>
    <x v="1"/>
    <n v="6"/>
    <n v="1"/>
    <n v="2025"/>
    <s v="Jan"/>
    <x v="1"/>
    <x v="0"/>
    <x v="0"/>
    <d v="1899-12-30T18:15:00"/>
    <x v="12"/>
    <x v="0"/>
    <s v="Kukatpally"/>
    <x v="3"/>
    <s v="Bakery"/>
    <x v="2"/>
    <n v="116"/>
    <n v="580"/>
    <x v="1"/>
    <x v="12"/>
    <x v="1"/>
    <n v="39"/>
    <x v="0"/>
    <n v="0"/>
  </r>
  <r>
    <x v="13"/>
    <x v="0"/>
    <n v="8"/>
    <n v="1"/>
    <n v="2025"/>
    <s v="Jan"/>
    <x v="0"/>
    <x v="0"/>
    <x v="0"/>
    <d v="1899-12-30T18:15:00"/>
    <x v="13"/>
    <x v="1"/>
    <s v="Dwarka"/>
    <x v="0"/>
    <s v="Dairy"/>
    <x v="2"/>
    <n v="65"/>
    <n v="325"/>
    <x v="0"/>
    <x v="13"/>
    <x v="0"/>
    <n v="36"/>
    <x v="1"/>
    <n v="5"/>
  </r>
  <r>
    <x v="14"/>
    <x v="6"/>
    <n v="4"/>
    <n v="1"/>
    <n v="2025"/>
    <s v="Jan"/>
    <x v="3"/>
    <x v="1"/>
    <x v="2"/>
    <d v="1899-12-30T18:45:00"/>
    <x v="14"/>
    <x v="0"/>
    <s v="Dwarka"/>
    <x v="2"/>
    <s v="Dairy"/>
    <x v="4"/>
    <n v="40"/>
    <n v="80"/>
    <x v="0"/>
    <x v="14"/>
    <x v="0"/>
    <n v="46"/>
    <x v="0"/>
    <n v="5"/>
  </r>
  <r>
    <x v="15"/>
    <x v="1"/>
    <n v="6"/>
    <n v="1"/>
    <n v="2025"/>
    <s v="Jan"/>
    <x v="1"/>
    <x v="0"/>
    <x v="1"/>
    <d v="1899-12-30T09:05:00"/>
    <x v="15"/>
    <x v="0"/>
    <s v="Velachery"/>
    <x v="3"/>
    <s v="Bakery"/>
    <x v="1"/>
    <n v="14"/>
    <n v="84"/>
    <x v="2"/>
    <x v="15"/>
    <x v="2"/>
    <n v="38"/>
    <x v="0"/>
    <n v="0"/>
  </r>
  <r>
    <x v="16"/>
    <x v="6"/>
    <n v="4"/>
    <n v="1"/>
    <n v="2025"/>
    <s v="Jan"/>
    <x v="3"/>
    <x v="1"/>
    <x v="1"/>
    <d v="1899-12-30T09:05:00"/>
    <x v="16"/>
    <x v="2"/>
    <s v="Rohini"/>
    <x v="6"/>
    <s v="Vegetables"/>
    <x v="1"/>
    <n v="64"/>
    <n v="384"/>
    <x v="0"/>
    <x v="16"/>
    <x v="3"/>
    <n v="39"/>
    <x v="0"/>
    <n v="0"/>
  </r>
  <r>
    <x v="17"/>
    <x v="3"/>
    <n v="11"/>
    <n v="1"/>
    <n v="2025"/>
    <s v="Jan"/>
    <x v="3"/>
    <x v="1"/>
    <x v="0"/>
    <d v="1899-12-30T18:15:00"/>
    <x v="17"/>
    <x v="4"/>
    <s v="Andheri"/>
    <x v="4"/>
    <s v="Fruits"/>
    <x v="0"/>
    <n v="68"/>
    <n v="68"/>
    <x v="1"/>
    <x v="9"/>
    <x v="3"/>
    <n v="38"/>
    <x v="0"/>
    <n v="5"/>
  </r>
  <r>
    <x v="18"/>
    <x v="0"/>
    <n v="8"/>
    <n v="1"/>
    <n v="2025"/>
    <s v="Jan"/>
    <x v="0"/>
    <x v="0"/>
    <x v="2"/>
    <d v="1899-12-30T18:45:00"/>
    <x v="18"/>
    <x v="4"/>
    <s v="Whitefield"/>
    <x v="4"/>
    <s v="Fruits"/>
    <x v="2"/>
    <n v="12"/>
    <n v="60"/>
    <x v="1"/>
    <x v="17"/>
    <x v="1"/>
    <n v="25"/>
    <x v="1"/>
    <n v="5"/>
  </r>
  <r>
    <x v="19"/>
    <x v="7"/>
    <n v="7"/>
    <n v="1"/>
    <n v="2025"/>
    <s v="Jan"/>
    <x v="5"/>
    <x v="0"/>
    <x v="0"/>
    <d v="1899-12-30T18:15:00"/>
    <x v="19"/>
    <x v="5"/>
    <s v="Whitefield"/>
    <x v="1"/>
    <s v="Fruits"/>
    <x v="3"/>
    <n v="119"/>
    <n v="476"/>
    <x v="2"/>
    <x v="18"/>
    <x v="1"/>
    <n v="55"/>
    <x v="1"/>
    <n v="0"/>
  </r>
  <r>
    <x v="20"/>
    <x v="8"/>
    <n v="3"/>
    <n v="1"/>
    <n v="2025"/>
    <s v="Jan"/>
    <x v="4"/>
    <x v="0"/>
    <x v="0"/>
    <d v="1899-12-30T18:15:00"/>
    <x v="20"/>
    <x v="6"/>
    <s v="Whitefield"/>
    <x v="3"/>
    <s v="Bakery"/>
    <x v="1"/>
    <n v="64"/>
    <n v="384"/>
    <x v="2"/>
    <x v="19"/>
    <x v="2"/>
    <n v="16"/>
    <x v="1"/>
    <n v="3"/>
  </r>
  <r>
    <x v="21"/>
    <x v="9"/>
    <n v="1"/>
    <n v="1"/>
    <n v="2025"/>
    <s v="Jan"/>
    <x v="0"/>
    <x v="0"/>
    <x v="2"/>
    <d v="1899-12-30T18:45:00"/>
    <x v="21"/>
    <x v="6"/>
    <s v="Andheri"/>
    <x v="7"/>
    <s v="Grocery"/>
    <x v="5"/>
    <n v="76"/>
    <n v="228"/>
    <x v="1"/>
    <x v="20"/>
    <x v="3"/>
    <n v="53"/>
    <x v="0"/>
    <n v="5"/>
  </r>
  <r>
    <x v="22"/>
    <x v="1"/>
    <n v="6"/>
    <n v="1"/>
    <n v="2025"/>
    <s v="Jan"/>
    <x v="1"/>
    <x v="0"/>
    <x v="3"/>
    <d v="1899-12-30T10:30:00"/>
    <x v="22"/>
    <x v="1"/>
    <s v="Kukatpally"/>
    <x v="4"/>
    <s v="Fruits"/>
    <x v="2"/>
    <n v="78"/>
    <n v="390"/>
    <x v="1"/>
    <x v="21"/>
    <x v="2"/>
    <n v="12"/>
    <x v="1"/>
    <n v="3"/>
  </r>
  <r>
    <x v="23"/>
    <x v="2"/>
    <n v="2"/>
    <n v="1"/>
    <n v="2025"/>
    <s v="Jan"/>
    <x v="2"/>
    <x v="0"/>
    <x v="3"/>
    <d v="1899-12-30T10:30:00"/>
    <x v="23"/>
    <x v="4"/>
    <s v="Hinjewadi"/>
    <x v="3"/>
    <s v="Bakery"/>
    <x v="5"/>
    <n v="105"/>
    <n v="325"/>
    <x v="1"/>
    <x v="13"/>
    <x v="3"/>
    <n v="55"/>
    <x v="1"/>
    <n v="2"/>
  </r>
  <r>
    <x v="24"/>
    <x v="0"/>
    <n v="8"/>
    <n v="1"/>
    <n v="2025"/>
    <s v="Jan"/>
    <x v="0"/>
    <x v="0"/>
    <x v="1"/>
    <d v="1899-12-30T09:05:00"/>
    <x v="24"/>
    <x v="5"/>
    <s v="Kukatpally"/>
    <x v="6"/>
    <s v="Vegetables"/>
    <x v="2"/>
    <n v="67"/>
    <n v="335"/>
    <x v="2"/>
    <x v="3"/>
    <x v="1"/>
    <n v="38"/>
    <x v="0"/>
    <n v="0"/>
  </r>
  <r>
    <x v="25"/>
    <x v="7"/>
    <n v="7"/>
    <n v="1"/>
    <n v="2025"/>
    <s v="Jan"/>
    <x v="5"/>
    <x v="0"/>
    <x v="1"/>
    <d v="1899-12-30T09:05:00"/>
    <x v="25"/>
    <x v="0"/>
    <s v="Gachibowli"/>
    <x v="5"/>
    <s v="Dairy"/>
    <x v="0"/>
    <n v="104"/>
    <n v="104"/>
    <x v="2"/>
    <x v="22"/>
    <x v="1"/>
    <n v="33"/>
    <x v="0"/>
    <n v="4"/>
  </r>
  <r>
    <x v="26"/>
    <x v="6"/>
    <n v="4"/>
    <n v="1"/>
    <n v="2025"/>
    <s v="Jan"/>
    <x v="3"/>
    <x v="1"/>
    <x v="2"/>
    <d v="1899-12-30T18:45:00"/>
    <x v="26"/>
    <x v="0"/>
    <s v="Gachibowli"/>
    <x v="8"/>
    <s v="Snacks"/>
    <x v="2"/>
    <n v="20"/>
    <n v="110"/>
    <x v="2"/>
    <x v="23"/>
    <x v="3"/>
    <n v="51"/>
    <x v="0"/>
    <n v="1"/>
  </r>
  <r>
    <x v="27"/>
    <x v="9"/>
    <n v="1"/>
    <n v="1"/>
    <n v="2025"/>
    <s v="Jan"/>
    <x v="0"/>
    <x v="0"/>
    <x v="0"/>
    <d v="1899-12-30T18:15:00"/>
    <x v="27"/>
    <x v="4"/>
    <s v="Velachery"/>
    <x v="7"/>
    <s v="Grocery"/>
    <x v="4"/>
    <n v="50"/>
    <n v="100"/>
    <x v="0"/>
    <x v="24"/>
    <x v="1"/>
    <n v="51"/>
    <x v="0"/>
    <n v="5"/>
  </r>
  <r>
    <x v="28"/>
    <x v="2"/>
    <n v="2"/>
    <n v="1"/>
    <n v="2025"/>
    <s v="Jan"/>
    <x v="2"/>
    <x v="0"/>
    <x v="0"/>
    <d v="1899-12-30T18:15:00"/>
    <x v="28"/>
    <x v="5"/>
    <s v="Velachery"/>
    <x v="3"/>
    <s v="Bakery"/>
    <x v="3"/>
    <n v="52"/>
    <n v="208"/>
    <x v="0"/>
    <x v="25"/>
    <x v="0"/>
    <n v="49"/>
    <x v="1"/>
    <n v="1"/>
  </r>
  <r>
    <x v="29"/>
    <x v="7"/>
    <n v="7"/>
    <n v="1"/>
    <n v="2025"/>
    <s v="Jan"/>
    <x v="5"/>
    <x v="0"/>
    <x v="2"/>
    <d v="1899-12-30T18:45:00"/>
    <x v="29"/>
    <x v="3"/>
    <s v="Velachery"/>
    <x v="4"/>
    <s v="Fruits"/>
    <x v="2"/>
    <n v="114"/>
    <n v="580"/>
    <x v="0"/>
    <x v="26"/>
    <x v="0"/>
    <n v="46"/>
    <x v="1"/>
    <n v="1"/>
  </r>
  <r>
    <x v="30"/>
    <x v="0"/>
    <n v="8"/>
    <n v="1"/>
    <n v="2025"/>
    <s v="Jan"/>
    <x v="0"/>
    <x v="0"/>
    <x v="1"/>
    <d v="1899-12-30T09:05:00"/>
    <x v="30"/>
    <x v="6"/>
    <s v="Andheri"/>
    <x v="2"/>
    <s v="Dairy"/>
    <x v="2"/>
    <n v="82"/>
    <n v="410"/>
    <x v="1"/>
    <x v="27"/>
    <x v="0"/>
    <n v="24"/>
    <x v="0"/>
    <n v="4"/>
  </r>
  <r>
    <x v="31"/>
    <x v="5"/>
    <n v="10"/>
    <n v="1"/>
    <n v="2025"/>
    <s v="Jan"/>
    <x v="4"/>
    <x v="0"/>
    <x v="3"/>
    <d v="1899-12-30T10:30:00"/>
    <x v="31"/>
    <x v="0"/>
    <s v="Hinjewadi"/>
    <x v="8"/>
    <s v="Snacks"/>
    <x v="0"/>
    <n v="95"/>
    <n v="95"/>
    <x v="2"/>
    <x v="24"/>
    <x v="1"/>
    <n v="57"/>
    <x v="1"/>
    <n v="2"/>
  </r>
  <r>
    <x v="32"/>
    <x v="10"/>
    <n v="5"/>
    <n v="1"/>
    <n v="2025"/>
    <s v="Jan"/>
    <x v="6"/>
    <x v="1"/>
    <x v="2"/>
    <d v="1899-12-30T18:45:00"/>
    <x v="32"/>
    <x v="1"/>
    <s v="Andheri"/>
    <x v="6"/>
    <s v="Vegetables"/>
    <x v="4"/>
    <n v="32"/>
    <n v="64"/>
    <x v="1"/>
    <x v="28"/>
    <x v="1"/>
    <n v="34"/>
    <x v="0"/>
    <n v="0"/>
  </r>
  <r>
    <x v="33"/>
    <x v="6"/>
    <n v="4"/>
    <n v="1"/>
    <n v="2025"/>
    <s v="Jan"/>
    <x v="3"/>
    <x v="1"/>
    <x v="1"/>
    <d v="1899-12-30T09:05:00"/>
    <x v="33"/>
    <x v="2"/>
    <s v="Rohini"/>
    <x v="7"/>
    <s v="Grocery"/>
    <x v="0"/>
    <n v="87"/>
    <n v="87"/>
    <x v="1"/>
    <x v="29"/>
    <x v="1"/>
    <n v="47"/>
    <x v="0"/>
    <n v="2"/>
  </r>
  <r>
    <x v="34"/>
    <x v="7"/>
    <n v="7"/>
    <n v="1"/>
    <n v="2025"/>
    <s v="Jan"/>
    <x v="5"/>
    <x v="0"/>
    <x v="0"/>
    <d v="1899-12-30T18:15:00"/>
    <x v="34"/>
    <x v="4"/>
    <s v="Gachibowli"/>
    <x v="4"/>
    <s v="Fruits"/>
    <x v="2"/>
    <n v="36"/>
    <n v="180"/>
    <x v="1"/>
    <x v="30"/>
    <x v="3"/>
    <n v="19"/>
    <x v="0"/>
    <n v="5"/>
  </r>
  <r>
    <x v="35"/>
    <x v="7"/>
    <n v="7"/>
    <n v="1"/>
    <n v="2025"/>
    <s v="Jan"/>
    <x v="5"/>
    <x v="0"/>
    <x v="3"/>
    <d v="1899-12-30T10:30:00"/>
    <x v="35"/>
    <x v="4"/>
    <s v="Gachibowli"/>
    <x v="6"/>
    <s v="Vegetables"/>
    <x v="4"/>
    <n v="52"/>
    <n v="104"/>
    <x v="1"/>
    <x v="31"/>
    <x v="1"/>
    <n v="53"/>
    <x v="0"/>
    <n v="3"/>
  </r>
  <r>
    <x v="36"/>
    <x v="0"/>
    <n v="8"/>
    <n v="1"/>
    <n v="2025"/>
    <s v="Jan"/>
    <x v="0"/>
    <x v="0"/>
    <x v="3"/>
    <d v="1899-12-30T10:30:00"/>
    <x v="36"/>
    <x v="6"/>
    <s v="Andheri"/>
    <x v="4"/>
    <s v="Fruits"/>
    <x v="4"/>
    <n v="105"/>
    <n v="210"/>
    <x v="1"/>
    <x v="32"/>
    <x v="1"/>
    <n v="24"/>
    <x v="1"/>
    <n v="1"/>
  </r>
  <r>
    <x v="37"/>
    <x v="7"/>
    <n v="7"/>
    <n v="1"/>
    <n v="2025"/>
    <s v="Jan"/>
    <x v="5"/>
    <x v="0"/>
    <x v="2"/>
    <d v="1899-12-30T18:45:00"/>
    <x v="37"/>
    <x v="0"/>
    <s v="Whitefield"/>
    <x v="6"/>
    <s v="Vegetables"/>
    <x v="3"/>
    <n v="85"/>
    <n v="350"/>
    <x v="2"/>
    <x v="33"/>
    <x v="2"/>
    <n v="36"/>
    <x v="1"/>
    <n v="2"/>
  </r>
  <r>
    <x v="38"/>
    <x v="5"/>
    <n v="10"/>
    <n v="1"/>
    <n v="2025"/>
    <s v="Jan"/>
    <x v="4"/>
    <x v="0"/>
    <x v="2"/>
    <d v="1899-12-30T18:45:00"/>
    <x v="38"/>
    <x v="4"/>
    <s v="Velachery"/>
    <x v="1"/>
    <s v="Fruits"/>
    <x v="0"/>
    <n v="52"/>
    <n v="52"/>
    <x v="0"/>
    <x v="34"/>
    <x v="1"/>
    <n v="32"/>
    <x v="1"/>
    <n v="2"/>
  </r>
  <r>
    <x v="39"/>
    <x v="10"/>
    <n v="5"/>
    <n v="1"/>
    <n v="2025"/>
    <s v="Jan"/>
    <x v="6"/>
    <x v="1"/>
    <x v="3"/>
    <d v="1899-12-30T10:30:00"/>
    <x v="39"/>
    <x v="0"/>
    <s v="Rohini"/>
    <x v="7"/>
    <s v="Grocery"/>
    <x v="3"/>
    <n v="98"/>
    <n v="392"/>
    <x v="0"/>
    <x v="35"/>
    <x v="1"/>
    <n v="15"/>
    <x v="0"/>
    <n v="2"/>
  </r>
  <r>
    <x v="40"/>
    <x v="4"/>
    <n v="9"/>
    <n v="1"/>
    <n v="2025"/>
    <s v="Jan"/>
    <x v="2"/>
    <x v="0"/>
    <x v="0"/>
    <d v="1899-12-30T18:15:00"/>
    <x v="40"/>
    <x v="4"/>
    <s v="Rohini"/>
    <x v="6"/>
    <s v="Vegetables"/>
    <x v="1"/>
    <n v="98"/>
    <n v="588"/>
    <x v="1"/>
    <x v="36"/>
    <x v="1"/>
    <n v="57"/>
    <x v="0"/>
    <n v="4"/>
  </r>
  <r>
    <x v="41"/>
    <x v="8"/>
    <n v="3"/>
    <n v="1"/>
    <n v="2025"/>
    <s v="Jan"/>
    <x v="4"/>
    <x v="0"/>
    <x v="1"/>
    <d v="1899-12-30T09:05:00"/>
    <x v="41"/>
    <x v="6"/>
    <s v="Gachibowli"/>
    <x v="0"/>
    <s v="Dairy"/>
    <x v="1"/>
    <n v="84"/>
    <n v="504"/>
    <x v="1"/>
    <x v="37"/>
    <x v="0"/>
    <n v="16"/>
    <x v="1"/>
    <n v="2"/>
  </r>
  <r>
    <x v="42"/>
    <x v="10"/>
    <n v="5"/>
    <n v="1"/>
    <n v="2025"/>
    <s v="Jan"/>
    <x v="6"/>
    <x v="1"/>
    <x v="1"/>
    <d v="1899-12-30T09:05:00"/>
    <x v="42"/>
    <x v="5"/>
    <s v="Whitefield"/>
    <x v="7"/>
    <s v="Grocery"/>
    <x v="2"/>
    <n v="69"/>
    <n v="345"/>
    <x v="1"/>
    <x v="38"/>
    <x v="3"/>
    <n v="53"/>
    <x v="0"/>
    <n v="2"/>
  </r>
  <r>
    <x v="43"/>
    <x v="1"/>
    <n v="6"/>
    <n v="1"/>
    <n v="2025"/>
    <s v="Jan"/>
    <x v="1"/>
    <x v="0"/>
    <x v="2"/>
    <d v="1899-12-30T18:45:00"/>
    <x v="43"/>
    <x v="1"/>
    <s v="Whitefield"/>
    <x v="6"/>
    <s v="Vegetables"/>
    <x v="0"/>
    <n v="63"/>
    <n v="63"/>
    <x v="1"/>
    <x v="39"/>
    <x v="0"/>
    <n v="18"/>
    <x v="0"/>
    <n v="1"/>
  </r>
  <r>
    <x v="44"/>
    <x v="0"/>
    <n v="8"/>
    <n v="1"/>
    <n v="2025"/>
    <s v="Jan"/>
    <x v="0"/>
    <x v="0"/>
    <x v="2"/>
    <d v="1899-12-30T18:45:00"/>
    <x v="44"/>
    <x v="2"/>
    <s v="Andheri"/>
    <x v="6"/>
    <s v="Vegetables"/>
    <x v="0"/>
    <n v="79"/>
    <n v="79"/>
    <x v="0"/>
    <x v="40"/>
    <x v="2"/>
    <n v="54"/>
    <x v="1"/>
    <n v="5"/>
  </r>
  <r>
    <x v="45"/>
    <x v="1"/>
    <n v="6"/>
    <n v="1"/>
    <n v="2025"/>
    <s v="Jan"/>
    <x v="1"/>
    <x v="0"/>
    <x v="2"/>
    <d v="1899-12-30T18:45:00"/>
    <x v="45"/>
    <x v="1"/>
    <s v="Dwarka"/>
    <x v="2"/>
    <s v="Dairy"/>
    <x v="3"/>
    <n v="74"/>
    <n v="296"/>
    <x v="2"/>
    <x v="41"/>
    <x v="1"/>
    <n v="17"/>
    <x v="1"/>
    <n v="4"/>
  </r>
  <r>
    <x v="46"/>
    <x v="5"/>
    <n v="10"/>
    <n v="1"/>
    <n v="2025"/>
    <s v="Jan"/>
    <x v="4"/>
    <x v="0"/>
    <x v="2"/>
    <d v="1899-12-30T18:45:00"/>
    <x v="46"/>
    <x v="0"/>
    <s v="Velachery"/>
    <x v="0"/>
    <s v="Dairy"/>
    <x v="4"/>
    <n v="103"/>
    <n v="206"/>
    <x v="0"/>
    <x v="42"/>
    <x v="1"/>
    <n v="32"/>
    <x v="0"/>
    <n v="3"/>
  </r>
  <r>
    <x v="47"/>
    <x v="8"/>
    <n v="3"/>
    <n v="1"/>
    <n v="2025"/>
    <s v="Jan"/>
    <x v="4"/>
    <x v="0"/>
    <x v="3"/>
    <d v="1899-12-30T10:30:00"/>
    <x v="47"/>
    <x v="1"/>
    <s v="Hinjewadi"/>
    <x v="8"/>
    <s v="Snacks"/>
    <x v="2"/>
    <n v="70"/>
    <n v="350"/>
    <x v="0"/>
    <x v="43"/>
    <x v="1"/>
    <n v="44"/>
    <x v="1"/>
    <n v="5"/>
  </r>
  <r>
    <x v="48"/>
    <x v="6"/>
    <n v="4"/>
    <n v="1"/>
    <n v="2025"/>
    <s v="Jan"/>
    <x v="3"/>
    <x v="1"/>
    <x v="3"/>
    <d v="1899-12-30T10:30:00"/>
    <x v="48"/>
    <x v="1"/>
    <s v="Velachery"/>
    <x v="2"/>
    <s v="Dairy"/>
    <x v="4"/>
    <n v="11"/>
    <n v="22"/>
    <x v="1"/>
    <x v="44"/>
    <x v="0"/>
    <n v="26"/>
    <x v="0"/>
    <n v="5"/>
  </r>
  <r>
    <x v="49"/>
    <x v="2"/>
    <n v="2"/>
    <n v="1"/>
    <n v="2025"/>
    <s v="Jan"/>
    <x v="2"/>
    <x v="0"/>
    <x v="2"/>
    <d v="1899-12-30T18:45:00"/>
    <x v="49"/>
    <x v="2"/>
    <s v="Dwarka"/>
    <x v="4"/>
    <s v="Fruits"/>
    <x v="1"/>
    <n v="35"/>
    <n v="210"/>
    <x v="1"/>
    <x v="32"/>
    <x v="1"/>
    <n v="60"/>
    <x v="1"/>
    <n v="5"/>
  </r>
  <r>
    <x v="50"/>
    <x v="5"/>
    <n v="10"/>
    <n v="1"/>
    <n v="2025"/>
    <s v="Jan"/>
    <x v="4"/>
    <x v="0"/>
    <x v="1"/>
    <d v="1899-12-30T09:05:00"/>
    <x v="50"/>
    <x v="0"/>
    <s v="Dwarka"/>
    <x v="2"/>
    <s v="Dairy"/>
    <x v="1"/>
    <n v="39"/>
    <n v="234"/>
    <x v="0"/>
    <x v="45"/>
    <x v="1"/>
    <n v="10"/>
    <x v="1"/>
    <n v="1"/>
  </r>
  <r>
    <x v="51"/>
    <x v="4"/>
    <n v="9"/>
    <n v="1"/>
    <n v="2025"/>
    <s v="Jan"/>
    <x v="2"/>
    <x v="0"/>
    <x v="3"/>
    <d v="1899-12-30T10:30:00"/>
    <x v="51"/>
    <x v="0"/>
    <s v="Velachery"/>
    <x v="2"/>
    <s v="Dairy"/>
    <x v="3"/>
    <n v="64"/>
    <n v="256"/>
    <x v="2"/>
    <x v="46"/>
    <x v="3"/>
    <n v="17"/>
    <x v="1"/>
    <n v="4"/>
  </r>
  <r>
    <x v="52"/>
    <x v="3"/>
    <n v="11"/>
    <n v="1"/>
    <n v="2025"/>
    <s v="Jan"/>
    <x v="3"/>
    <x v="1"/>
    <x v="2"/>
    <d v="1899-12-30T18:45:00"/>
    <x v="52"/>
    <x v="0"/>
    <s v="Andheri"/>
    <x v="6"/>
    <s v="Vegetables"/>
    <x v="1"/>
    <n v="87"/>
    <n v="522"/>
    <x v="0"/>
    <x v="47"/>
    <x v="1"/>
    <n v="11"/>
    <x v="1"/>
    <n v="5"/>
  </r>
  <r>
    <x v="53"/>
    <x v="6"/>
    <n v="4"/>
    <n v="1"/>
    <n v="2025"/>
    <s v="Jan"/>
    <x v="3"/>
    <x v="1"/>
    <x v="3"/>
    <d v="1899-12-30T10:30:00"/>
    <x v="53"/>
    <x v="5"/>
    <s v="Whitefield"/>
    <x v="8"/>
    <s v="Snacks"/>
    <x v="4"/>
    <n v="49"/>
    <n v="98"/>
    <x v="1"/>
    <x v="0"/>
    <x v="3"/>
    <n v="33"/>
    <x v="1"/>
    <n v="1"/>
  </r>
  <r>
    <x v="54"/>
    <x v="3"/>
    <n v="11"/>
    <n v="1"/>
    <n v="2025"/>
    <s v="Jan"/>
    <x v="3"/>
    <x v="1"/>
    <x v="1"/>
    <d v="1899-12-30T09:05:00"/>
    <x v="54"/>
    <x v="6"/>
    <s v="Andheri"/>
    <x v="6"/>
    <s v="Vegetables"/>
    <x v="3"/>
    <n v="94"/>
    <n v="376"/>
    <x v="1"/>
    <x v="48"/>
    <x v="0"/>
    <n v="16"/>
    <x v="0"/>
    <n v="5"/>
  </r>
  <r>
    <x v="55"/>
    <x v="8"/>
    <n v="3"/>
    <n v="1"/>
    <n v="2025"/>
    <s v="Jan"/>
    <x v="4"/>
    <x v="0"/>
    <x v="2"/>
    <d v="1899-12-30T18:45:00"/>
    <x v="55"/>
    <x v="0"/>
    <s v="Dwarka"/>
    <x v="2"/>
    <s v="Dairy"/>
    <x v="1"/>
    <n v="10"/>
    <n v="60"/>
    <x v="0"/>
    <x v="49"/>
    <x v="1"/>
    <n v="22"/>
    <x v="1"/>
    <n v="5"/>
  </r>
  <r>
    <x v="56"/>
    <x v="4"/>
    <n v="9"/>
    <n v="1"/>
    <n v="2025"/>
    <s v="Jan"/>
    <x v="2"/>
    <x v="0"/>
    <x v="0"/>
    <d v="1899-12-30T18:15:00"/>
    <x v="56"/>
    <x v="4"/>
    <s v="Dwarka"/>
    <x v="0"/>
    <s v="Dairy"/>
    <x v="3"/>
    <n v="107"/>
    <n v="428"/>
    <x v="2"/>
    <x v="50"/>
    <x v="1"/>
    <n v="42"/>
    <x v="0"/>
    <n v="0"/>
  </r>
  <r>
    <x v="57"/>
    <x v="2"/>
    <n v="2"/>
    <n v="1"/>
    <n v="2025"/>
    <s v="Jan"/>
    <x v="2"/>
    <x v="0"/>
    <x v="3"/>
    <d v="1899-12-30T10:30:00"/>
    <x v="57"/>
    <x v="1"/>
    <s v="Kukatpally"/>
    <x v="2"/>
    <s v="Dairy"/>
    <x v="5"/>
    <n v="95"/>
    <n v="285"/>
    <x v="0"/>
    <x v="51"/>
    <x v="1"/>
    <n v="53"/>
    <x v="1"/>
    <n v="4"/>
  </r>
  <r>
    <x v="58"/>
    <x v="4"/>
    <n v="9"/>
    <n v="1"/>
    <n v="2025"/>
    <s v="Jan"/>
    <x v="2"/>
    <x v="0"/>
    <x v="2"/>
    <d v="1899-12-30T18:45:00"/>
    <x v="58"/>
    <x v="1"/>
    <s v="Andheri"/>
    <x v="1"/>
    <s v="Fruits"/>
    <x v="0"/>
    <n v="82"/>
    <n v="82"/>
    <x v="1"/>
    <x v="52"/>
    <x v="1"/>
    <n v="51"/>
    <x v="0"/>
    <n v="0"/>
  </r>
  <r>
    <x v="59"/>
    <x v="10"/>
    <n v="5"/>
    <n v="1"/>
    <n v="2025"/>
    <s v="Jan"/>
    <x v="6"/>
    <x v="1"/>
    <x v="0"/>
    <d v="1899-12-30T18:15:00"/>
    <x v="59"/>
    <x v="0"/>
    <s v="Velachery"/>
    <x v="8"/>
    <s v="Snacks"/>
    <x v="5"/>
    <n v="111"/>
    <n v="333"/>
    <x v="0"/>
    <x v="53"/>
    <x v="3"/>
    <n v="16"/>
    <x v="0"/>
    <n v="2"/>
  </r>
  <r>
    <x v="60"/>
    <x v="10"/>
    <n v="5"/>
    <n v="1"/>
    <n v="2025"/>
    <s v="Jan"/>
    <x v="6"/>
    <x v="1"/>
    <x v="0"/>
    <d v="1899-12-30T18:15:00"/>
    <x v="60"/>
    <x v="1"/>
    <s v="Kukatpally"/>
    <x v="1"/>
    <s v="Fruits"/>
    <x v="0"/>
    <n v="79"/>
    <n v="79"/>
    <x v="1"/>
    <x v="15"/>
    <x v="1"/>
    <n v="38"/>
    <x v="1"/>
    <n v="4"/>
  </r>
  <r>
    <x v="61"/>
    <x v="4"/>
    <n v="9"/>
    <n v="1"/>
    <n v="2025"/>
    <s v="Jan"/>
    <x v="2"/>
    <x v="0"/>
    <x v="3"/>
    <d v="1899-12-30T10:30:00"/>
    <x v="61"/>
    <x v="2"/>
    <s v="Velachery"/>
    <x v="8"/>
    <s v="Snacks"/>
    <x v="2"/>
    <n v="98"/>
    <n v="490"/>
    <x v="1"/>
    <x v="54"/>
    <x v="0"/>
    <n v="33"/>
    <x v="1"/>
    <n v="5"/>
  </r>
  <r>
    <x v="62"/>
    <x v="10"/>
    <n v="5"/>
    <n v="1"/>
    <n v="2025"/>
    <s v="Jan"/>
    <x v="6"/>
    <x v="1"/>
    <x v="1"/>
    <d v="1899-12-30T09:05:00"/>
    <x v="62"/>
    <x v="0"/>
    <s v="Velachery"/>
    <x v="1"/>
    <s v="Fruits"/>
    <x v="0"/>
    <n v="88"/>
    <n v="88"/>
    <x v="1"/>
    <x v="55"/>
    <x v="2"/>
    <n v="11"/>
    <x v="0"/>
    <n v="0"/>
  </r>
  <r>
    <x v="63"/>
    <x v="2"/>
    <n v="2"/>
    <n v="1"/>
    <n v="2025"/>
    <s v="Jan"/>
    <x v="2"/>
    <x v="0"/>
    <x v="2"/>
    <d v="1899-12-30T18:45:00"/>
    <x v="63"/>
    <x v="0"/>
    <s v="Rohini"/>
    <x v="4"/>
    <s v="Fruits"/>
    <x v="3"/>
    <n v="47"/>
    <n v="188"/>
    <x v="2"/>
    <x v="56"/>
    <x v="2"/>
    <n v="55"/>
    <x v="1"/>
    <n v="2"/>
  </r>
  <r>
    <x v="64"/>
    <x v="8"/>
    <n v="3"/>
    <n v="1"/>
    <n v="2025"/>
    <s v="Jan"/>
    <x v="4"/>
    <x v="0"/>
    <x v="2"/>
    <d v="1899-12-30T18:45:00"/>
    <x v="64"/>
    <x v="0"/>
    <s v="Velachery"/>
    <x v="8"/>
    <s v="Snacks"/>
    <x v="3"/>
    <n v="19"/>
    <n v="76"/>
    <x v="1"/>
    <x v="57"/>
    <x v="0"/>
    <n v="55"/>
    <x v="1"/>
    <n v="2"/>
  </r>
  <r>
    <x v="65"/>
    <x v="1"/>
    <n v="6"/>
    <n v="1"/>
    <n v="2025"/>
    <s v="Jan"/>
    <x v="1"/>
    <x v="0"/>
    <x v="1"/>
    <d v="1899-12-30T09:05:00"/>
    <x v="65"/>
    <x v="4"/>
    <s v="Andheri"/>
    <x v="7"/>
    <s v="Grocery"/>
    <x v="0"/>
    <n v="87"/>
    <n v="87"/>
    <x v="0"/>
    <x v="58"/>
    <x v="1"/>
    <n v="39"/>
    <x v="0"/>
    <n v="3"/>
  </r>
  <r>
    <x v="66"/>
    <x v="4"/>
    <n v="9"/>
    <n v="1"/>
    <n v="2025"/>
    <s v="Jan"/>
    <x v="2"/>
    <x v="0"/>
    <x v="0"/>
    <d v="1899-12-30T18:15:00"/>
    <x v="66"/>
    <x v="3"/>
    <s v="Whitefield"/>
    <x v="3"/>
    <s v="Bakery"/>
    <x v="2"/>
    <n v="10"/>
    <n v="50"/>
    <x v="0"/>
    <x v="59"/>
    <x v="2"/>
    <n v="32"/>
    <x v="1"/>
    <n v="2"/>
  </r>
  <r>
    <x v="67"/>
    <x v="2"/>
    <n v="2"/>
    <n v="1"/>
    <n v="2025"/>
    <s v="Jan"/>
    <x v="2"/>
    <x v="0"/>
    <x v="1"/>
    <d v="1899-12-30T09:05:00"/>
    <x v="67"/>
    <x v="0"/>
    <s v="Rohini"/>
    <x v="2"/>
    <s v="Dairy"/>
    <x v="5"/>
    <n v="109"/>
    <n v="327"/>
    <x v="2"/>
    <x v="60"/>
    <x v="3"/>
    <n v="30"/>
    <x v="1"/>
    <n v="2"/>
  </r>
  <r>
    <x v="68"/>
    <x v="6"/>
    <n v="4"/>
    <n v="1"/>
    <n v="2025"/>
    <s v="Jan"/>
    <x v="3"/>
    <x v="1"/>
    <x v="2"/>
    <d v="1899-12-30T18:45:00"/>
    <x v="68"/>
    <x v="1"/>
    <s v="Whitefield"/>
    <x v="1"/>
    <s v="Fruits"/>
    <x v="1"/>
    <n v="62"/>
    <n v="372"/>
    <x v="1"/>
    <x v="61"/>
    <x v="1"/>
    <n v="20"/>
    <x v="1"/>
    <n v="5"/>
  </r>
  <r>
    <x v="69"/>
    <x v="2"/>
    <n v="2"/>
    <n v="1"/>
    <n v="2025"/>
    <s v="Jan"/>
    <x v="2"/>
    <x v="0"/>
    <x v="2"/>
    <d v="1899-12-30T18:45:00"/>
    <x v="69"/>
    <x v="0"/>
    <s v="Hinjewadi"/>
    <x v="3"/>
    <s v="Bakery"/>
    <x v="2"/>
    <n v="114"/>
    <n v="570"/>
    <x v="0"/>
    <x v="26"/>
    <x v="2"/>
    <n v="27"/>
    <x v="0"/>
    <n v="1"/>
  </r>
  <r>
    <x v="70"/>
    <x v="9"/>
    <n v="1"/>
    <n v="1"/>
    <n v="2025"/>
    <s v="Jan"/>
    <x v="0"/>
    <x v="0"/>
    <x v="3"/>
    <d v="1899-12-30T10:30:00"/>
    <x v="70"/>
    <x v="5"/>
    <s v="Rohini"/>
    <x v="1"/>
    <s v="Fruits"/>
    <x v="5"/>
    <n v="35"/>
    <n v="105"/>
    <x v="2"/>
    <x v="62"/>
    <x v="1"/>
    <n v="35"/>
    <x v="0"/>
    <n v="4"/>
  </r>
  <r>
    <x v="71"/>
    <x v="8"/>
    <n v="3"/>
    <n v="1"/>
    <n v="2025"/>
    <s v="Jan"/>
    <x v="4"/>
    <x v="0"/>
    <x v="0"/>
    <d v="1899-12-30T18:15:00"/>
    <x v="71"/>
    <x v="0"/>
    <s v="Andheri"/>
    <x v="2"/>
    <s v="Dairy"/>
    <x v="5"/>
    <n v="77"/>
    <n v="231"/>
    <x v="1"/>
    <x v="63"/>
    <x v="2"/>
    <n v="22"/>
    <x v="1"/>
    <n v="1"/>
  </r>
  <r>
    <x v="72"/>
    <x v="4"/>
    <n v="9"/>
    <n v="1"/>
    <n v="2025"/>
    <s v="Jan"/>
    <x v="2"/>
    <x v="0"/>
    <x v="3"/>
    <d v="1899-12-30T10:30:00"/>
    <x v="72"/>
    <x v="0"/>
    <s v="Whitefield"/>
    <x v="3"/>
    <s v="Bakery"/>
    <x v="3"/>
    <n v="24"/>
    <n v="96"/>
    <x v="2"/>
    <x v="64"/>
    <x v="2"/>
    <n v="43"/>
    <x v="1"/>
    <n v="4"/>
  </r>
  <r>
    <x v="73"/>
    <x v="0"/>
    <n v="8"/>
    <n v="1"/>
    <n v="2025"/>
    <s v="Jan"/>
    <x v="0"/>
    <x v="0"/>
    <x v="2"/>
    <d v="1899-12-30T18:45:00"/>
    <x v="73"/>
    <x v="6"/>
    <s v="Velachery"/>
    <x v="4"/>
    <s v="Fruits"/>
    <x v="4"/>
    <n v="35"/>
    <n v="70"/>
    <x v="2"/>
    <x v="65"/>
    <x v="2"/>
    <n v="38"/>
    <x v="1"/>
    <n v="1"/>
  </r>
  <r>
    <x v="74"/>
    <x v="3"/>
    <n v="11"/>
    <n v="1"/>
    <n v="2025"/>
    <s v="Jan"/>
    <x v="3"/>
    <x v="1"/>
    <x v="2"/>
    <d v="1899-12-30T18:45:00"/>
    <x v="74"/>
    <x v="6"/>
    <s v="Kukatpally"/>
    <x v="4"/>
    <s v="Fruits"/>
    <x v="3"/>
    <n v="99"/>
    <n v="396"/>
    <x v="1"/>
    <x v="66"/>
    <x v="0"/>
    <n v="12"/>
    <x v="1"/>
    <n v="4"/>
  </r>
  <r>
    <x v="75"/>
    <x v="1"/>
    <n v="6"/>
    <n v="1"/>
    <n v="2025"/>
    <s v="Jan"/>
    <x v="1"/>
    <x v="0"/>
    <x v="1"/>
    <d v="1899-12-30T09:05:00"/>
    <x v="75"/>
    <x v="0"/>
    <s v="Kukatpally"/>
    <x v="1"/>
    <s v="Fruits"/>
    <x v="0"/>
    <n v="64"/>
    <n v="64"/>
    <x v="2"/>
    <x v="67"/>
    <x v="2"/>
    <n v="29"/>
    <x v="0"/>
    <n v="0"/>
  </r>
  <r>
    <x v="76"/>
    <x v="3"/>
    <n v="11"/>
    <n v="1"/>
    <n v="2025"/>
    <s v="Jan"/>
    <x v="3"/>
    <x v="1"/>
    <x v="1"/>
    <d v="1899-12-30T09:05:00"/>
    <x v="76"/>
    <x v="6"/>
    <s v="Gachibowli"/>
    <x v="7"/>
    <s v="Grocery"/>
    <x v="3"/>
    <n v="66"/>
    <n v="264"/>
    <x v="0"/>
    <x v="68"/>
    <x v="3"/>
    <n v="31"/>
    <x v="0"/>
    <n v="3"/>
  </r>
  <r>
    <x v="77"/>
    <x v="6"/>
    <n v="4"/>
    <n v="1"/>
    <n v="2025"/>
    <s v="Jan"/>
    <x v="3"/>
    <x v="1"/>
    <x v="1"/>
    <d v="1899-12-30T09:05:00"/>
    <x v="77"/>
    <x v="1"/>
    <s v="Velachery"/>
    <x v="8"/>
    <s v="Snacks"/>
    <x v="0"/>
    <n v="120"/>
    <n v="120"/>
    <x v="1"/>
    <x v="69"/>
    <x v="1"/>
    <n v="12"/>
    <x v="0"/>
    <n v="3"/>
  </r>
  <r>
    <x v="78"/>
    <x v="1"/>
    <n v="6"/>
    <n v="1"/>
    <n v="2025"/>
    <s v="Jan"/>
    <x v="1"/>
    <x v="0"/>
    <x v="2"/>
    <d v="1899-12-30T18:45:00"/>
    <x v="78"/>
    <x v="6"/>
    <s v="Hinjewadi"/>
    <x v="2"/>
    <s v="Dairy"/>
    <x v="4"/>
    <n v="117"/>
    <n v="234"/>
    <x v="1"/>
    <x v="70"/>
    <x v="1"/>
    <n v="51"/>
    <x v="0"/>
    <n v="0"/>
  </r>
  <r>
    <x v="79"/>
    <x v="10"/>
    <n v="5"/>
    <n v="1"/>
    <n v="2025"/>
    <s v="Jan"/>
    <x v="6"/>
    <x v="1"/>
    <x v="2"/>
    <d v="1899-12-30T18:45:00"/>
    <x v="79"/>
    <x v="0"/>
    <s v="Dwarka"/>
    <x v="5"/>
    <s v="Dairy"/>
    <x v="4"/>
    <n v="10"/>
    <n v="20"/>
    <x v="2"/>
    <x v="7"/>
    <x v="1"/>
    <n v="51"/>
    <x v="1"/>
    <n v="0"/>
  </r>
  <r>
    <x v="80"/>
    <x v="6"/>
    <n v="4"/>
    <n v="1"/>
    <n v="2025"/>
    <s v="Jan"/>
    <x v="3"/>
    <x v="1"/>
    <x v="3"/>
    <d v="1899-12-30T10:30:00"/>
    <x v="80"/>
    <x v="5"/>
    <s v="Rohini"/>
    <x v="8"/>
    <s v="Snacks"/>
    <x v="2"/>
    <n v="52"/>
    <n v="270"/>
    <x v="2"/>
    <x v="11"/>
    <x v="1"/>
    <n v="48"/>
    <x v="1"/>
    <n v="3"/>
  </r>
  <r>
    <x v="81"/>
    <x v="2"/>
    <n v="2"/>
    <n v="1"/>
    <n v="2025"/>
    <s v="Jan"/>
    <x v="2"/>
    <x v="0"/>
    <x v="3"/>
    <d v="1899-12-30T10:30:00"/>
    <x v="81"/>
    <x v="5"/>
    <s v="Kukatpally"/>
    <x v="0"/>
    <s v="Dairy"/>
    <x v="2"/>
    <n v="63"/>
    <n v="315"/>
    <x v="1"/>
    <x v="13"/>
    <x v="0"/>
    <n v="32"/>
    <x v="0"/>
    <n v="2"/>
  </r>
  <r>
    <x v="82"/>
    <x v="2"/>
    <n v="2"/>
    <n v="1"/>
    <n v="2025"/>
    <s v="Jan"/>
    <x v="2"/>
    <x v="0"/>
    <x v="2"/>
    <d v="1899-12-30T18:45:00"/>
    <x v="82"/>
    <x v="1"/>
    <s v="Gachibowli"/>
    <x v="2"/>
    <s v="Dairy"/>
    <x v="4"/>
    <n v="80"/>
    <n v="160"/>
    <x v="0"/>
    <x v="71"/>
    <x v="0"/>
    <n v="28"/>
    <x v="1"/>
    <n v="1"/>
  </r>
  <r>
    <x v="83"/>
    <x v="2"/>
    <n v="2"/>
    <n v="1"/>
    <n v="2025"/>
    <s v="Jan"/>
    <x v="2"/>
    <x v="0"/>
    <x v="3"/>
    <d v="1899-12-30T10:30:00"/>
    <x v="83"/>
    <x v="0"/>
    <s v="Whitefield"/>
    <x v="5"/>
    <s v="Dairy"/>
    <x v="3"/>
    <n v="85"/>
    <n v="340"/>
    <x v="0"/>
    <x v="3"/>
    <x v="1"/>
    <n v="18"/>
    <x v="1"/>
    <n v="4"/>
  </r>
  <r>
    <x v="84"/>
    <x v="5"/>
    <n v="10"/>
    <n v="1"/>
    <n v="2025"/>
    <s v="Jan"/>
    <x v="4"/>
    <x v="0"/>
    <x v="1"/>
    <d v="1899-12-30T09:05:00"/>
    <x v="84"/>
    <x v="3"/>
    <s v="Velachery"/>
    <x v="5"/>
    <s v="Dairy"/>
    <x v="2"/>
    <n v="108"/>
    <n v="540"/>
    <x v="1"/>
    <x v="72"/>
    <x v="2"/>
    <n v="24"/>
    <x v="0"/>
    <n v="2"/>
  </r>
  <r>
    <x v="85"/>
    <x v="4"/>
    <n v="9"/>
    <n v="1"/>
    <n v="2025"/>
    <s v="Jan"/>
    <x v="2"/>
    <x v="0"/>
    <x v="3"/>
    <d v="1899-12-30T10:30:00"/>
    <x v="85"/>
    <x v="6"/>
    <s v="Hinjewadi"/>
    <x v="8"/>
    <s v="Snacks"/>
    <x v="5"/>
    <n v="69"/>
    <n v="207"/>
    <x v="1"/>
    <x v="73"/>
    <x v="3"/>
    <n v="32"/>
    <x v="1"/>
    <n v="3"/>
  </r>
  <r>
    <x v="86"/>
    <x v="3"/>
    <n v="11"/>
    <n v="1"/>
    <n v="2025"/>
    <s v="Jan"/>
    <x v="3"/>
    <x v="1"/>
    <x v="0"/>
    <d v="1899-12-30T18:15:00"/>
    <x v="86"/>
    <x v="3"/>
    <s v="Hinjewadi"/>
    <x v="0"/>
    <s v="Dairy"/>
    <x v="4"/>
    <n v="89"/>
    <n v="178"/>
    <x v="2"/>
    <x v="74"/>
    <x v="1"/>
    <n v="15"/>
    <x v="1"/>
    <n v="0"/>
  </r>
  <r>
    <x v="87"/>
    <x v="2"/>
    <n v="2"/>
    <n v="1"/>
    <n v="2025"/>
    <s v="Jan"/>
    <x v="2"/>
    <x v="0"/>
    <x v="3"/>
    <d v="1899-12-30T10:30:00"/>
    <x v="87"/>
    <x v="1"/>
    <s v="Andheri"/>
    <x v="4"/>
    <s v="Fruits"/>
    <x v="5"/>
    <n v="21"/>
    <n v="63"/>
    <x v="0"/>
    <x v="75"/>
    <x v="0"/>
    <n v="54"/>
    <x v="1"/>
    <n v="2"/>
  </r>
  <r>
    <x v="88"/>
    <x v="5"/>
    <n v="10"/>
    <n v="1"/>
    <n v="2025"/>
    <s v="Jan"/>
    <x v="4"/>
    <x v="0"/>
    <x v="0"/>
    <d v="1899-12-30T18:15:00"/>
    <x v="88"/>
    <x v="0"/>
    <s v="Gachibowli"/>
    <x v="8"/>
    <s v="Snacks"/>
    <x v="1"/>
    <n v="79"/>
    <n v="474"/>
    <x v="0"/>
    <x v="76"/>
    <x v="3"/>
    <n v="44"/>
    <x v="1"/>
    <n v="1"/>
  </r>
  <r>
    <x v="89"/>
    <x v="1"/>
    <n v="6"/>
    <n v="1"/>
    <n v="2025"/>
    <s v="Jan"/>
    <x v="1"/>
    <x v="0"/>
    <x v="1"/>
    <d v="1899-12-30T09:05:00"/>
    <x v="89"/>
    <x v="0"/>
    <s v="Hinjewadi"/>
    <x v="2"/>
    <s v="Dairy"/>
    <x v="1"/>
    <n v="35"/>
    <n v="210"/>
    <x v="2"/>
    <x v="77"/>
    <x v="2"/>
    <n v="17"/>
    <x v="0"/>
    <n v="2"/>
  </r>
  <r>
    <x v="90"/>
    <x v="6"/>
    <n v="4"/>
    <n v="1"/>
    <n v="2025"/>
    <s v="Jan"/>
    <x v="3"/>
    <x v="1"/>
    <x v="0"/>
    <d v="1899-12-30T18:15:00"/>
    <x v="90"/>
    <x v="2"/>
    <s v="Andheri"/>
    <x v="3"/>
    <s v="Bakery"/>
    <x v="1"/>
    <n v="44"/>
    <n v="264"/>
    <x v="2"/>
    <x v="78"/>
    <x v="2"/>
    <n v="46"/>
    <x v="0"/>
    <n v="3"/>
  </r>
  <r>
    <x v="91"/>
    <x v="10"/>
    <n v="5"/>
    <n v="1"/>
    <n v="2025"/>
    <s v="Jan"/>
    <x v="6"/>
    <x v="1"/>
    <x v="2"/>
    <d v="1899-12-30T18:45:00"/>
    <x v="91"/>
    <x v="3"/>
    <s v="Andheri"/>
    <x v="1"/>
    <s v="Fruits"/>
    <x v="2"/>
    <n v="81"/>
    <n v="405"/>
    <x v="1"/>
    <x v="79"/>
    <x v="3"/>
    <n v="29"/>
    <x v="1"/>
    <n v="3"/>
  </r>
  <r>
    <x v="92"/>
    <x v="2"/>
    <n v="2"/>
    <n v="1"/>
    <n v="2025"/>
    <s v="Jan"/>
    <x v="2"/>
    <x v="0"/>
    <x v="3"/>
    <d v="1899-12-30T10:30:00"/>
    <x v="92"/>
    <x v="0"/>
    <s v="Gachibowli"/>
    <x v="7"/>
    <s v="Grocery"/>
    <x v="4"/>
    <n v="34"/>
    <n v="68"/>
    <x v="1"/>
    <x v="9"/>
    <x v="1"/>
    <n v="17"/>
    <x v="1"/>
    <n v="3"/>
  </r>
  <r>
    <x v="93"/>
    <x v="9"/>
    <n v="1"/>
    <n v="1"/>
    <n v="2025"/>
    <s v="Jan"/>
    <x v="0"/>
    <x v="0"/>
    <x v="3"/>
    <d v="1899-12-30T10:30:00"/>
    <x v="93"/>
    <x v="2"/>
    <s v="Whitefield"/>
    <x v="3"/>
    <s v="Bakery"/>
    <x v="1"/>
    <n v="39"/>
    <n v="234"/>
    <x v="1"/>
    <x v="70"/>
    <x v="1"/>
    <n v="12"/>
    <x v="0"/>
    <n v="5"/>
  </r>
  <r>
    <x v="94"/>
    <x v="7"/>
    <n v="7"/>
    <n v="1"/>
    <n v="2025"/>
    <s v="Jan"/>
    <x v="5"/>
    <x v="0"/>
    <x v="3"/>
    <d v="1899-12-30T10:30:00"/>
    <x v="94"/>
    <x v="6"/>
    <s v="Hinjewadi"/>
    <x v="3"/>
    <s v="Bakery"/>
    <x v="2"/>
    <n v="42"/>
    <n v="210"/>
    <x v="1"/>
    <x v="32"/>
    <x v="2"/>
    <n v="39"/>
    <x v="0"/>
    <n v="5"/>
  </r>
  <r>
    <x v="95"/>
    <x v="10"/>
    <n v="5"/>
    <n v="1"/>
    <n v="2025"/>
    <s v="Jan"/>
    <x v="6"/>
    <x v="1"/>
    <x v="1"/>
    <d v="1899-12-30T09:05:00"/>
    <x v="95"/>
    <x v="0"/>
    <s v="Rohini"/>
    <x v="1"/>
    <s v="Fruits"/>
    <x v="3"/>
    <n v="44"/>
    <n v="176"/>
    <x v="0"/>
    <x v="80"/>
    <x v="1"/>
    <n v="27"/>
    <x v="1"/>
    <n v="5"/>
  </r>
  <r>
    <x v="96"/>
    <x v="6"/>
    <n v="4"/>
    <n v="1"/>
    <n v="2025"/>
    <s v="Jan"/>
    <x v="3"/>
    <x v="1"/>
    <x v="1"/>
    <d v="1899-12-30T09:05:00"/>
    <x v="96"/>
    <x v="2"/>
    <s v="Andheri"/>
    <x v="8"/>
    <s v="Snacks"/>
    <x v="2"/>
    <n v="91"/>
    <n v="455"/>
    <x v="2"/>
    <x v="81"/>
    <x v="2"/>
    <n v="12"/>
    <x v="1"/>
    <n v="2"/>
  </r>
  <r>
    <x v="97"/>
    <x v="5"/>
    <n v="10"/>
    <n v="1"/>
    <n v="2025"/>
    <s v="Jan"/>
    <x v="4"/>
    <x v="0"/>
    <x v="3"/>
    <d v="1899-12-30T10:30:00"/>
    <x v="97"/>
    <x v="5"/>
    <s v="Gachibowli"/>
    <x v="3"/>
    <s v="Bakery"/>
    <x v="2"/>
    <n v="58"/>
    <n v="290"/>
    <x v="0"/>
    <x v="82"/>
    <x v="0"/>
    <n v="43"/>
    <x v="1"/>
    <n v="2"/>
  </r>
  <r>
    <x v="98"/>
    <x v="10"/>
    <n v="5"/>
    <n v="1"/>
    <n v="2025"/>
    <s v="Jan"/>
    <x v="6"/>
    <x v="1"/>
    <x v="3"/>
    <d v="1899-12-30T10:30:00"/>
    <x v="98"/>
    <x v="0"/>
    <s v="Dwarka"/>
    <x v="5"/>
    <s v="Dairy"/>
    <x v="0"/>
    <n v="111"/>
    <n v="111"/>
    <x v="1"/>
    <x v="83"/>
    <x v="1"/>
    <n v="18"/>
    <x v="1"/>
    <n v="1"/>
  </r>
  <r>
    <x v="99"/>
    <x v="1"/>
    <n v="6"/>
    <n v="1"/>
    <n v="2025"/>
    <s v="Jan"/>
    <x v="1"/>
    <x v="0"/>
    <x v="2"/>
    <d v="1899-12-30T18:45:00"/>
    <x v="99"/>
    <x v="6"/>
    <s v="Kukatpally"/>
    <x v="3"/>
    <s v="Bakery"/>
    <x v="3"/>
    <n v="24"/>
    <n v="96"/>
    <x v="1"/>
    <x v="84"/>
    <x v="1"/>
    <n v="47"/>
    <x v="0"/>
    <n v="4"/>
  </r>
  <r>
    <x v="100"/>
    <x v="4"/>
    <n v="9"/>
    <n v="1"/>
    <n v="2025"/>
    <s v="Jan"/>
    <x v="2"/>
    <x v="0"/>
    <x v="1"/>
    <d v="1899-12-30T09:05:00"/>
    <x v="100"/>
    <x v="0"/>
    <s v="Gachibowli"/>
    <x v="1"/>
    <s v="Fruits"/>
    <x v="5"/>
    <n v="25"/>
    <n v="75"/>
    <x v="1"/>
    <x v="85"/>
    <x v="2"/>
    <n v="21"/>
    <x v="0"/>
    <n v="2"/>
  </r>
  <r>
    <x v="101"/>
    <x v="4"/>
    <n v="9"/>
    <n v="1"/>
    <n v="2025"/>
    <s v="Jan"/>
    <x v="2"/>
    <x v="0"/>
    <x v="1"/>
    <d v="1899-12-30T09:05:00"/>
    <x v="101"/>
    <x v="1"/>
    <s v="Kukatpally"/>
    <x v="3"/>
    <s v="Bakery"/>
    <x v="1"/>
    <n v="103"/>
    <n v="618"/>
    <x v="1"/>
    <x v="86"/>
    <x v="3"/>
    <n v="35"/>
    <x v="1"/>
    <n v="1"/>
  </r>
  <r>
    <x v="102"/>
    <x v="10"/>
    <n v="5"/>
    <n v="1"/>
    <n v="2025"/>
    <s v="Jan"/>
    <x v="6"/>
    <x v="1"/>
    <x v="1"/>
    <d v="1899-12-30T09:05:00"/>
    <x v="102"/>
    <x v="6"/>
    <s v="Dwarka"/>
    <x v="1"/>
    <s v="Fruits"/>
    <x v="3"/>
    <n v="59"/>
    <n v="236"/>
    <x v="1"/>
    <x v="87"/>
    <x v="1"/>
    <n v="27"/>
    <x v="0"/>
    <n v="0"/>
  </r>
  <r>
    <x v="103"/>
    <x v="3"/>
    <n v="11"/>
    <n v="1"/>
    <n v="2025"/>
    <s v="Jan"/>
    <x v="3"/>
    <x v="1"/>
    <x v="0"/>
    <d v="1899-12-30T18:15:00"/>
    <x v="103"/>
    <x v="4"/>
    <s v="Rohini"/>
    <x v="0"/>
    <s v="Dairy"/>
    <x v="3"/>
    <n v="73"/>
    <n v="292"/>
    <x v="1"/>
    <x v="88"/>
    <x v="0"/>
    <n v="51"/>
    <x v="1"/>
    <n v="1"/>
  </r>
  <r>
    <x v="104"/>
    <x v="4"/>
    <n v="9"/>
    <n v="1"/>
    <n v="2025"/>
    <s v="Jan"/>
    <x v="2"/>
    <x v="0"/>
    <x v="1"/>
    <d v="1899-12-30T09:05:00"/>
    <x v="104"/>
    <x v="2"/>
    <s v="Velachery"/>
    <x v="4"/>
    <s v="Fruits"/>
    <x v="0"/>
    <n v="105"/>
    <n v="105"/>
    <x v="0"/>
    <x v="23"/>
    <x v="0"/>
    <n v="38"/>
    <x v="1"/>
    <n v="0"/>
  </r>
  <r>
    <x v="105"/>
    <x v="10"/>
    <n v="5"/>
    <n v="1"/>
    <n v="2025"/>
    <s v="Jan"/>
    <x v="6"/>
    <x v="1"/>
    <x v="2"/>
    <d v="1899-12-30T18:45:00"/>
    <x v="105"/>
    <x v="3"/>
    <s v="Andheri"/>
    <x v="0"/>
    <s v="Dairy"/>
    <x v="0"/>
    <n v="35"/>
    <n v="35"/>
    <x v="1"/>
    <x v="89"/>
    <x v="1"/>
    <n v="42"/>
    <x v="1"/>
    <n v="5"/>
  </r>
  <r>
    <x v="106"/>
    <x v="1"/>
    <n v="6"/>
    <n v="1"/>
    <n v="2025"/>
    <s v="Jan"/>
    <x v="1"/>
    <x v="0"/>
    <x v="3"/>
    <d v="1899-12-30T10:30:00"/>
    <x v="106"/>
    <x v="0"/>
    <s v="Gachibowli"/>
    <x v="2"/>
    <s v="Dairy"/>
    <x v="3"/>
    <n v="94"/>
    <n v="376"/>
    <x v="2"/>
    <x v="90"/>
    <x v="3"/>
    <n v="51"/>
    <x v="0"/>
    <n v="0"/>
  </r>
  <r>
    <x v="107"/>
    <x v="8"/>
    <n v="3"/>
    <n v="1"/>
    <n v="2025"/>
    <s v="Jan"/>
    <x v="4"/>
    <x v="0"/>
    <x v="1"/>
    <d v="1899-12-30T09:05:00"/>
    <x v="107"/>
    <x v="4"/>
    <s v="Whitefield"/>
    <x v="6"/>
    <s v="Vegetables"/>
    <x v="1"/>
    <n v="57"/>
    <n v="342"/>
    <x v="2"/>
    <x v="91"/>
    <x v="0"/>
    <n v="13"/>
    <x v="1"/>
    <n v="3"/>
  </r>
  <r>
    <x v="108"/>
    <x v="3"/>
    <n v="11"/>
    <n v="1"/>
    <n v="2025"/>
    <s v="Jan"/>
    <x v="3"/>
    <x v="1"/>
    <x v="3"/>
    <d v="1899-12-30T10:30:00"/>
    <x v="108"/>
    <x v="2"/>
    <s v="Kukatpally"/>
    <x v="1"/>
    <s v="Fruits"/>
    <x v="5"/>
    <n v="77"/>
    <n v="231"/>
    <x v="0"/>
    <x v="92"/>
    <x v="2"/>
    <n v="41"/>
    <x v="0"/>
    <n v="1"/>
  </r>
  <r>
    <x v="109"/>
    <x v="6"/>
    <n v="4"/>
    <n v="1"/>
    <n v="2025"/>
    <s v="Jan"/>
    <x v="3"/>
    <x v="1"/>
    <x v="1"/>
    <d v="1899-12-30T09:05:00"/>
    <x v="109"/>
    <x v="3"/>
    <s v="Hinjewadi"/>
    <x v="2"/>
    <s v="Dairy"/>
    <x v="3"/>
    <n v="36"/>
    <n v="144"/>
    <x v="1"/>
    <x v="93"/>
    <x v="2"/>
    <n v="20"/>
    <x v="0"/>
    <n v="2"/>
  </r>
  <r>
    <x v="110"/>
    <x v="3"/>
    <n v="11"/>
    <n v="1"/>
    <n v="2025"/>
    <s v="Jan"/>
    <x v="3"/>
    <x v="1"/>
    <x v="3"/>
    <d v="1899-12-30T10:30:00"/>
    <x v="110"/>
    <x v="1"/>
    <s v="Velachery"/>
    <x v="3"/>
    <s v="Bakery"/>
    <x v="2"/>
    <n v="64"/>
    <n v="320"/>
    <x v="1"/>
    <x v="94"/>
    <x v="0"/>
    <n v="46"/>
    <x v="0"/>
    <n v="3"/>
  </r>
  <r>
    <x v="111"/>
    <x v="3"/>
    <n v="11"/>
    <n v="1"/>
    <n v="2025"/>
    <s v="Jan"/>
    <x v="3"/>
    <x v="1"/>
    <x v="3"/>
    <d v="1899-12-30T10:30:00"/>
    <x v="111"/>
    <x v="0"/>
    <s v="Rohini"/>
    <x v="1"/>
    <s v="Fruits"/>
    <x v="4"/>
    <n v="31"/>
    <n v="62"/>
    <x v="1"/>
    <x v="95"/>
    <x v="1"/>
    <n v="47"/>
    <x v="0"/>
    <n v="1"/>
  </r>
  <r>
    <x v="112"/>
    <x v="8"/>
    <n v="3"/>
    <n v="1"/>
    <n v="2025"/>
    <s v="Jan"/>
    <x v="4"/>
    <x v="0"/>
    <x v="0"/>
    <d v="1899-12-30T18:15:00"/>
    <x v="112"/>
    <x v="1"/>
    <s v="Kukatpally"/>
    <x v="5"/>
    <s v="Dairy"/>
    <x v="2"/>
    <n v="81"/>
    <n v="405"/>
    <x v="0"/>
    <x v="96"/>
    <x v="1"/>
    <n v="27"/>
    <x v="1"/>
    <n v="3"/>
  </r>
  <r>
    <x v="113"/>
    <x v="2"/>
    <n v="2"/>
    <n v="1"/>
    <n v="2025"/>
    <s v="Jan"/>
    <x v="2"/>
    <x v="0"/>
    <x v="2"/>
    <d v="1899-12-30T18:45:00"/>
    <x v="113"/>
    <x v="5"/>
    <s v="Gachibowli"/>
    <x v="1"/>
    <s v="Fruits"/>
    <x v="1"/>
    <n v="27"/>
    <n v="162"/>
    <x v="1"/>
    <x v="97"/>
    <x v="1"/>
    <n v="29"/>
    <x v="1"/>
    <n v="5"/>
  </r>
  <r>
    <x v="114"/>
    <x v="10"/>
    <n v="5"/>
    <n v="1"/>
    <n v="2025"/>
    <s v="Jan"/>
    <x v="6"/>
    <x v="1"/>
    <x v="2"/>
    <d v="1899-12-30T18:45:00"/>
    <x v="114"/>
    <x v="2"/>
    <s v="Hinjewadi"/>
    <x v="2"/>
    <s v="Dairy"/>
    <x v="4"/>
    <n v="86"/>
    <n v="172"/>
    <x v="1"/>
    <x v="98"/>
    <x v="3"/>
    <n v="16"/>
    <x v="0"/>
    <n v="2"/>
  </r>
  <r>
    <x v="115"/>
    <x v="3"/>
    <n v="11"/>
    <n v="1"/>
    <n v="2025"/>
    <s v="Jan"/>
    <x v="3"/>
    <x v="1"/>
    <x v="1"/>
    <d v="1899-12-30T09:05:00"/>
    <x v="115"/>
    <x v="5"/>
    <s v="Hinjewadi"/>
    <x v="0"/>
    <s v="Dairy"/>
    <x v="0"/>
    <n v="88"/>
    <n v="88"/>
    <x v="2"/>
    <x v="99"/>
    <x v="1"/>
    <n v="12"/>
    <x v="1"/>
    <n v="1"/>
  </r>
  <r>
    <x v="116"/>
    <x v="2"/>
    <n v="2"/>
    <n v="1"/>
    <n v="2025"/>
    <s v="Jan"/>
    <x v="2"/>
    <x v="0"/>
    <x v="3"/>
    <d v="1899-12-30T10:30:00"/>
    <x v="116"/>
    <x v="4"/>
    <s v="Whitefield"/>
    <x v="7"/>
    <s v="Grocery"/>
    <x v="5"/>
    <n v="31"/>
    <n v="93"/>
    <x v="1"/>
    <x v="100"/>
    <x v="3"/>
    <n v="57"/>
    <x v="1"/>
    <n v="2"/>
  </r>
  <r>
    <x v="117"/>
    <x v="8"/>
    <n v="3"/>
    <n v="1"/>
    <n v="2025"/>
    <s v="Jan"/>
    <x v="4"/>
    <x v="0"/>
    <x v="3"/>
    <d v="1899-12-30T10:30:00"/>
    <x v="117"/>
    <x v="5"/>
    <s v="Andheri"/>
    <x v="6"/>
    <s v="Vegetables"/>
    <x v="4"/>
    <n v="97"/>
    <n v="194"/>
    <x v="0"/>
    <x v="101"/>
    <x v="0"/>
    <n v="45"/>
    <x v="0"/>
    <n v="3"/>
  </r>
  <r>
    <x v="118"/>
    <x v="4"/>
    <n v="9"/>
    <n v="1"/>
    <n v="2025"/>
    <s v="Jan"/>
    <x v="2"/>
    <x v="0"/>
    <x v="0"/>
    <d v="1899-12-30T18:15:00"/>
    <x v="118"/>
    <x v="2"/>
    <s v="Whitefield"/>
    <x v="8"/>
    <s v="Snacks"/>
    <x v="2"/>
    <n v="13"/>
    <n v="65"/>
    <x v="1"/>
    <x v="65"/>
    <x v="3"/>
    <n v="40"/>
    <x v="1"/>
    <n v="2"/>
  </r>
  <r>
    <x v="119"/>
    <x v="8"/>
    <n v="3"/>
    <n v="1"/>
    <n v="2025"/>
    <s v="Jan"/>
    <x v="4"/>
    <x v="0"/>
    <x v="0"/>
    <d v="1899-12-30T18:15:00"/>
    <x v="119"/>
    <x v="0"/>
    <s v="Whitefield"/>
    <x v="6"/>
    <s v="Vegetables"/>
    <x v="2"/>
    <n v="60"/>
    <n v="300"/>
    <x v="2"/>
    <x v="102"/>
    <x v="0"/>
    <n v="27"/>
    <x v="1"/>
    <n v="2"/>
  </r>
  <r>
    <x v="120"/>
    <x v="9"/>
    <n v="1"/>
    <n v="1"/>
    <n v="2025"/>
    <s v="Jan"/>
    <x v="0"/>
    <x v="0"/>
    <x v="1"/>
    <d v="1899-12-30T09:05:00"/>
    <x v="120"/>
    <x v="0"/>
    <s v="Rohini"/>
    <x v="0"/>
    <s v="Dairy"/>
    <x v="2"/>
    <n v="15"/>
    <n v="75"/>
    <x v="1"/>
    <x v="85"/>
    <x v="0"/>
    <n v="27"/>
    <x v="1"/>
    <n v="4"/>
  </r>
  <r>
    <x v="121"/>
    <x v="7"/>
    <n v="7"/>
    <n v="1"/>
    <n v="2025"/>
    <s v="Jan"/>
    <x v="5"/>
    <x v="0"/>
    <x v="0"/>
    <d v="1899-12-30T18:15:00"/>
    <x v="121"/>
    <x v="0"/>
    <s v="Hinjewadi"/>
    <x v="4"/>
    <s v="Fruits"/>
    <x v="5"/>
    <n v="13"/>
    <n v="39"/>
    <x v="2"/>
    <x v="103"/>
    <x v="3"/>
    <n v="34"/>
    <x v="1"/>
    <n v="3"/>
  </r>
  <r>
    <x v="122"/>
    <x v="3"/>
    <n v="11"/>
    <n v="1"/>
    <n v="2025"/>
    <s v="Jan"/>
    <x v="3"/>
    <x v="1"/>
    <x v="1"/>
    <d v="1899-12-30T09:05:00"/>
    <x v="122"/>
    <x v="2"/>
    <s v="Dwarka"/>
    <x v="2"/>
    <s v="Dairy"/>
    <x v="5"/>
    <n v="113"/>
    <n v="339"/>
    <x v="1"/>
    <x v="104"/>
    <x v="1"/>
    <n v="26"/>
    <x v="1"/>
    <n v="2"/>
  </r>
  <r>
    <x v="123"/>
    <x v="10"/>
    <n v="5"/>
    <n v="1"/>
    <n v="2025"/>
    <s v="Jan"/>
    <x v="6"/>
    <x v="1"/>
    <x v="3"/>
    <d v="1899-12-30T10:30:00"/>
    <x v="123"/>
    <x v="0"/>
    <s v="Andheri"/>
    <x v="1"/>
    <s v="Fruits"/>
    <x v="3"/>
    <n v="114"/>
    <n v="456"/>
    <x v="1"/>
    <x v="105"/>
    <x v="2"/>
    <n v="47"/>
    <x v="0"/>
    <n v="5"/>
  </r>
  <r>
    <x v="124"/>
    <x v="7"/>
    <n v="7"/>
    <n v="1"/>
    <n v="2025"/>
    <s v="Jan"/>
    <x v="5"/>
    <x v="0"/>
    <x v="0"/>
    <d v="1899-12-30T18:15:00"/>
    <x v="124"/>
    <x v="0"/>
    <s v="Kukatpally"/>
    <x v="4"/>
    <s v="Fruits"/>
    <x v="3"/>
    <n v="40"/>
    <n v="160"/>
    <x v="1"/>
    <x v="106"/>
    <x v="1"/>
    <n v="22"/>
    <x v="1"/>
    <n v="0"/>
  </r>
  <r>
    <x v="125"/>
    <x v="5"/>
    <n v="10"/>
    <n v="1"/>
    <n v="2025"/>
    <s v="Jan"/>
    <x v="4"/>
    <x v="0"/>
    <x v="2"/>
    <d v="1899-12-30T18:45:00"/>
    <x v="125"/>
    <x v="4"/>
    <s v="Rohini"/>
    <x v="4"/>
    <s v="Fruits"/>
    <x v="1"/>
    <n v="56"/>
    <n v="336"/>
    <x v="1"/>
    <x v="107"/>
    <x v="0"/>
    <n v="15"/>
    <x v="1"/>
    <n v="0"/>
  </r>
  <r>
    <x v="126"/>
    <x v="6"/>
    <n v="4"/>
    <n v="1"/>
    <n v="2025"/>
    <s v="Jan"/>
    <x v="3"/>
    <x v="1"/>
    <x v="1"/>
    <d v="1899-12-30T09:05:00"/>
    <x v="126"/>
    <x v="2"/>
    <s v="Velachery"/>
    <x v="6"/>
    <s v="Vegetables"/>
    <x v="1"/>
    <n v="78"/>
    <n v="468"/>
    <x v="2"/>
    <x v="108"/>
    <x v="3"/>
    <n v="22"/>
    <x v="0"/>
    <n v="1"/>
  </r>
  <r>
    <x v="127"/>
    <x v="8"/>
    <n v="3"/>
    <n v="1"/>
    <n v="2025"/>
    <s v="Jan"/>
    <x v="4"/>
    <x v="0"/>
    <x v="3"/>
    <d v="1899-12-30T10:30:00"/>
    <x v="127"/>
    <x v="1"/>
    <s v="Whitefield"/>
    <x v="3"/>
    <s v="Bakery"/>
    <x v="0"/>
    <n v="32"/>
    <n v="32"/>
    <x v="0"/>
    <x v="44"/>
    <x v="0"/>
    <n v="18"/>
    <x v="1"/>
    <n v="3"/>
  </r>
  <r>
    <x v="128"/>
    <x v="2"/>
    <n v="2"/>
    <n v="1"/>
    <n v="2025"/>
    <s v="Jan"/>
    <x v="2"/>
    <x v="0"/>
    <x v="0"/>
    <d v="1899-12-30T18:15:00"/>
    <x v="128"/>
    <x v="0"/>
    <s v="Gachibowli"/>
    <x v="7"/>
    <s v="Grocery"/>
    <x v="0"/>
    <n v="44"/>
    <n v="44"/>
    <x v="1"/>
    <x v="109"/>
    <x v="0"/>
    <n v="21"/>
    <x v="1"/>
    <n v="1"/>
  </r>
  <r>
    <x v="129"/>
    <x v="1"/>
    <n v="6"/>
    <n v="1"/>
    <n v="2025"/>
    <s v="Jan"/>
    <x v="1"/>
    <x v="0"/>
    <x v="2"/>
    <d v="1899-12-30T18:45:00"/>
    <x v="129"/>
    <x v="5"/>
    <s v="Velachery"/>
    <x v="4"/>
    <s v="Fruits"/>
    <x v="5"/>
    <n v="103"/>
    <n v="309"/>
    <x v="1"/>
    <x v="110"/>
    <x v="0"/>
    <n v="10"/>
    <x v="1"/>
    <n v="2"/>
  </r>
  <r>
    <x v="130"/>
    <x v="10"/>
    <n v="5"/>
    <n v="1"/>
    <n v="2025"/>
    <s v="Jan"/>
    <x v="6"/>
    <x v="1"/>
    <x v="2"/>
    <d v="1899-12-30T18:45:00"/>
    <x v="130"/>
    <x v="6"/>
    <s v="Rohini"/>
    <x v="0"/>
    <s v="Dairy"/>
    <x v="3"/>
    <n v="118"/>
    <n v="472"/>
    <x v="1"/>
    <x v="111"/>
    <x v="1"/>
    <n v="28"/>
    <x v="1"/>
    <n v="0"/>
  </r>
  <r>
    <x v="131"/>
    <x v="8"/>
    <n v="3"/>
    <n v="1"/>
    <n v="2025"/>
    <s v="Jan"/>
    <x v="4"/>
    <x v="0"/>
    <x v="3"/>
    <d v="1899-12-30T10:30:00"/>
    <x v="131"/>
    <x v="4"/>
    <s v="Velachery"/>
    <x v="0"/>
    <s v="Dairy"/>
    <x v="1"/>
    <n v="104"/>
    <n v="624"/>
    <x v="1"/>
    <x v="112"/>
    <x v="1"/>
    <n v="23"/>
    <x v="1"/>
    <n v="2"/>
  </r>
  <r>
    <x v="132"/>
    <x v="4"/>
    <n v="9"/>
    <n v="1"/>
    <n v="2025"/>
    <s v="Jan"/>
    <x v="2"/>
    <x v="0"/>
    <x v="3"/>
    <d v="1899-12-30T10:30:00"/>
    <x v="132"/>
    <x v="5"/>
    <s v="Rohini"/>
    <x v="1"/>
    <s v="Fruits"/>
    <x v="0"/>
    <n v="43"/>
    <n v="43"/>
    <x v="2"/>
    <x v="113"/>
    <x v="0"/>
    <n v="59"/>
    <x v="1"/>
    <n v="4"/>
  </r>
  <r>
    <x v="133"/>
    <x v="5"/>
    <n v="10"/>
    <n v="1"/>
    <n v="2025"/>
    <s v="Jan"/>
    <x v="4"/>
    <x v="0"/>
    <x v="0"/>
    <d v="1899-12-30T18:15:00"/>
    <x v="133"/>
    <x v="6"/>
    <s v="Dwarka"/>
    <x v="7"/>
    <s v="Grocery"/>
    <x v="5"/>
    <n v="88"/>
    <n v="264"/>
    <x v="2"/>
    <x v="78"/>
    <x v="2"/>
    <n v="51"/>
    <x v="1"/>
    <n v="2"/>
  </r>
  <r>
    <x v="134"/>
    <x v="10"/>
    <n v="5"/>
    <n v="1"/>
    <n v="2025"/>
    <s v="Jan"/>
    <x v="6"/>
    <x v="1"/>
    <x v="1"/>
    <d v="1899-12-30T09:05:00"/>
    <x v="134"/>
    <x v="0"/>
    <s v="Whitefield"/>
    <x v="5"/>
    <s v="Dairy"/>
    <x v="2"/>
    <n v="21"/>
    <n v="115"/>
    <x v="2"/>
    <x v="62"/>
    <x v="1"/>
    <n v="47"/>
    <x v="0"/>
    <n v="2"/>
  </r>
  <r>
    <x v="135"/>
    <x v="6"/>
    <n v="4"/>
    <n v="1"/>
    <n v="2025"/>
    <s v="Jan"/>
    <x v="3"/>
    <x v="1"/>
    <x v="3"/>
    <d v="1899-12-30T10:30:00"/>
    <x v="135"/>
    <x v="0"/>
    <s v="Gachibowli"/>
    <x v="7"/>
    <s v="Grocery"/>
    <x v="4"/>
    <n v="34"/>
    <n v="68"/>
    <x v="2"/>
    <x v="39"/>
    <x v="1"/>
    <n v="27"/>
    <x v="1"/>
    <n v="0"/>
  </r>
  <r>
    <x v="136"/>
    <x v="1"/>
    <n v="6"/>
    <n v="1"/>
    <n v="2025"/>
    <s v="Jan"/>
    <x v="1"/>
    <x v="0"/>
    <x v="3"/>
    <d v="1899-12-30T10:30:00"/>
    <x v="136"/>
    <x v="0"/>
    <s v="Dwarka"/>
    <x v="4"/>
    <s v="Fruits"/>
    <x v="3"/>
    <n v="11"/>
    <n v="44"/>
    <x v="1"/>
    <x v="109"/>
    <x v="1"/>
    <n v="43"/>
    <x v="1"/>
    <n v="1"/>
  </r>
  <r>
    <x v="137"/>
    <x v="9"/>
    <n v="1"/>
    <n v="1"/>
    <n v="2025"/>
    <s v="Jan"/>
    <x v="0"/>
    <x v="0"/>
    <x v="2"/>
    <d v="1899-12-30T18:45:00"/>
    <x v="137"/>
    <x v="5"/>
    <s v="Gachibowli"/>
    <x v="8"/>
    <s v="Snacks"/>
    <x v="3"/>
    <n v="53"/>
    <n v="212"/>
    <x v="2"/>
    <x v="73"/>
    <x v="2"/>
    <n v="15"/>
    <x v="1"/>
    <n v="5"/>
  </r>
  <r>
    <x v="138"/>
    <x v="0"/>
    <n v="8"/>
    <n v="1"/>
    <n v="2025"/>
    <s v="Jan"/>
    <x v="0"/>
    <x v="0"/>
    <x v="3"/>
    <d v="1899-12-30T10:30:00"/>
    <x v="138"/>
    <x v="0"/>
    <s v="Kukatpally"/>
    <x v="1"/>
    <s v="Fruits"/>
    <x v="5"/>
    <n v="118"/>
    <n v="354"/>
    <x v="2"/>
    <x v="114"/>
    <x v="2"/>
    <n v="23"/>
    <x v="1"/>
    <n v="3"/>
  </r>
  <r>
    <x v="139"/>
    <x v="8"/>
    <n v="3"/>
    <n v="1"/>
    <n v="2025"/>
    <s v="Jan"/>
    <x v="4"/>
    <x v="0"/>
    <x v="3"/>
    <d v="1899-12-30T10:30:00"/>
    <x v="139"/>
    <x v="2"/>
    <s v="Rohini"/>
    <x v="2"/>
    <s v="Dairy"/>
    <x v="3"/>
    <n v="15"/>
    <n v="60"/>
    <x v="2"/>
    <x v="115"/>
    <x v="3"/>
    <n v="40"/>
    <x v="1"/>
    <n v="4"/>
  </r>
  <r>
    <x v="140"/>
    <x v="6"/>
    <n v="4"/>
    <n v="1"/>
    <n v="2025"/>
    <s v="Jan"/>
    <x v="3"/>
    <x v="1"/>
    <x v="0"/>
    <d v="1899-12-30T18:15:00"/>
    <x v="140"/>
    <x v="4"/>
    <s v="Dwarka"/>
    <x v="4"/>
    <s v="Fruits"/>
    <x v="4"/>
    <n v="102"/>
    <n v="204"/>
    <x v="1"/>
    <x v="116"/>
    <x v="0"/>
    <n v="44"/>
    <x v="0"/>
    <n v="3"/>
  </r>
  <r>
    <x v="141"/>
    <x v="7"/>
    <n v="7"/>
    <n v="1"/>
    <n v="2025"/>
    <s v="Jan"/>
    <x v="5"/>
    <x v="0"/>
    <x v="2"/>
    <d v="1899-12-30T18:45:00"/>
    <x v="141"/>
    <x v="1"/>
    <s v="Gachibowli"/>
    <x v="7"/>
    <s v="Grocery"/>
    <x v="0"/>
    <n v="35"/>
    <n v="35"/>
    <x v="0"/>
    <x v="117"/>
    <x v="1"/>
    <n v="51"/>
    <x v="0"/>
    <n v="4"/>
  </r>
  <r>
    <x v="142"/>
    <x v="8"/>
    <n v="3"/>
    <n v="1"/>
    <n v="2025"/>
    <s v="Jan"/>
    <x v="4"/>
    <x v="0"/>
    <x v="0"/>
    <d v="1899-12-30T18:15:00"/>
    <x v="142"/>
    <x v="4"/>
    <s v="Velachery"/>
    <x v="3"/>
    <s v="Bakery"/>
    <x v="3"/>
    <n v="23"/>
    <n v="102"/>
    <x v="1"/>
    <x v="118"/>
    <x v="3"/>
    <n v="53"/>
    <x v="0"/>
    <n v="4"/>
  </r>
  <r>
    <x v="143"/>
    <x v="10"/>
    <n v="5"/>
    <n v="1"/>
    <n v="2025"/>
    <s v="Jan"/>
    <x v="6"/>
    <x v="1"/>
    <x v="3"/>
    <d v="1899-12-30T10:30:00"/>
    <x v="143"/>
    <x v="4"/>
    <s v="Velachery"/>
    <x v="3"/>
    <s v="Bakery"/>
    <x v="1"/>
    <n v="64"/>
    <n v="384"/>
    <x v="0"/>
    <x v="16"/>
    <x v="1"/>
    <n v="11"/>
    <x v="0"/>
    <n v="1"/>
  </r>
  <r>
    <x v="144"/>
    <x v="1"/>
    <n v="6"/>
    <n v="1"/>
    <n v="2025"/>
    <s v="Jan"/>
    <x v="1"/>
    <x v="0"/>
    <x v="1"/>
    <d v="1899-12-30T09:05:00"/>
    <x v="144"/>
    <x v="3"/>
    <s v="Gachibowli"/>
    <x v="6"/>
    <s v="Vegetables"/>
    <x v="3"/>
    <n v="107"/>
    <n v="428"/>
    <x v="1"/>
    <x v="119"/>
    <x v="1"/>
    <n v="21"/>
    <x v="0"/>
    <n v="2"/>
  </r>
  <r>
    <x v="145"/>
    <x v="4"/>
    <n v="9"/>
    <n v="1"/>
    <n v="2025"/>
    <s v="Jan"/>
    <x v="2"/>
    <x v="0"/>
    <x v="3"/>
    <d v="1899-12-30T10:30:00"/>
    <x v="145"/>
    <x v="1"/>
    <s v="Velachery"/>
    <x v="3"/>
    <s v="Bakery"/>
    <x v="1"/>
    <n v="26"/>
    <n v="156"/>
    <x v="1"/>
    <x v="120"/>
    <x v="1"/>
    <n v="60"/>
    <x v="0"/>
    <n v="5"/>
  </r>
  <r>
    <x v="146"/>
    <x v="6"/>
    <n v="4"/>
    <n v="1"/>
    <n v="2025"/>
    <s v="Jan"/>
    <x v="3"/>
    <x v="1"/>
    <x v="1"/>
    <d v="1899-12-30T09:05:00"/>
    <x v="146"/>
    <x v="1"/>
    <s v="Velachery"/>
    <x v="8"/>
    <s v="Snacks"/>
    <x v="1"/>
    <n v="28"/>
    <n v="168"/>
    <x v="2"/>
    <x v="121"/>
    <x v="0"/>
    <n v="48"/>
    <x v="1"/>
    <n v="1"/>
  </r>
  <r>
    <x v="147"/>
    <x v="10"/>
    <n v="5"/>
    <n v="1"/>
    <n v="2025"/>
    <s v="Jan"/>
    <x v="6"/>
    <x v="1"/>
    <x v="2"/>
    <d v="1899-12-30T18:45:00"/>
    <x v="147"/>
    <x v="0"/>
    <s v="Rohini"/>
    <x v="3"/>
    <s v="Bakery"/>
    <x v="2"/>
    <n v="68"/>
    <n v="340"/>
    <x v="2"/>
    <x v="33"/>
    <x v="2"/>
    <n v="22"/>
    <x v="0"/>
    <n v="5"/>
  </r>
  <r>
    <x v="148"/>
    <x v="1"/>
    <n v="6"/>
    <n v="1"/>
    <n v="2025"/>
    <s v="Jan"/>
    <x v="1"/>
    <x v="0"/>
    <x v="0"/>
    <d v="1899-12-30T18:15:00"/>
    <x v="148"/>
    <x v="1"/>
    <s v="Rohini"/>
    <x v="8"/>
    <s v="Snacks"/>
    <x v="4"/>
    <n v="103"/>
    <n v="206"/>
    <x v="1"/>
    <x v="122"/>
    <x v="2"/>
    <n v="26"/>
    <x v="0"/>
    <n v="1"/>
  </r>
  <r>
    <x v="149"/>
    <x v="8"/>
    <n v="3"/>
    <n v="1"/>
    <n v="2025"/>
    <s v="Jan"/>
    <x v="4"/>
    <x v="0"/>
    <x v="2"/>
    <d v="1899-12-30T18:45:00"/>
    <x v="149"/>
    <x v="0"/>
    <s v="Dwarka"/>
    <x v="6"/>
    <s v="Vegetables"/>
    <x v="0"/>
    <n v="16"/>
    <n v="16"/>
    <x v="1"/>
    <x v="123"/>
    <x v="1"/>
    <n v="51"/>
    <x v="0"/>
    <n v="3"/>
  </r>
  <r>
    <x v="150"/>
    <x v="1"/>
    <n v="6"/>
    <n v="1"/>
    <n v="2025"/>
    <s v="Jan"/>
    <x v="1"/>
    <x v="0"/>
    <x v="2"/>
    <d v="1899-12-30T18:45:00"/>
    <x v="150"/>
    <x v="2"/>
    <s v="Dwarka"/>
    <x v="4"/>
    <s v="Fruits"/>
    <x v="0"/>
    <n v="71"/>
    <n v="71"/>
    <x v="1"/>
    <x v="124"/>
    <x v="2"/>
    <n v="33"/>
    <x v="1"/>
    <n v="1"/>
  </r>
  <r>
    <x v="151"/>
    <x v="8"/>
    <n v="3"/>
    <n v="1"/>
    <n v="2025"/>
    <s v="Jan"/>
    <x v="4"/>
    <x v="0"/>
    <x v="0"/>
    <d v="1899-12-30T18:15:00"/>
    <x v="151"/>
    <x v="1"/>
    <s v="Velachery"/>
    <x v="5"/>
    <s v="Dairy"/>
    <x v="3"/>
    <n v="67"/>
    <n v="268"/>
    <x v="2"/>
    <x v="125"/>
    <x v="1"/>
    <n v="31"/>
    <x v="1"/>
    <n v="1"/>
  </r>
  <r>
    <x v="152"/>
    <x v="2"/>
    <n v="2"/>
    <n v="1"/>
    <n v="2025"/>
    <s v="Jan"/>
    <x v="2"/>
    <x v="0"/>
    <x v="2"/>
    <d v="1899-12-30T18:45:00"/>
    <x v="152"/>
    <x v="1"/>
    <s v="Hinjewadi"/>
    <x v="2"/>
    <s v="Dairy"/>
    <x v="4"/>
    <n v="101"/>
    <n v="202"/>
    <x v="1"/>
    <x v="126"/>
    <x v="1"/>
    <n v="19"/>
    <x v="0"/>
    <n v="4"/>
  </r>
  <r>
    <x v="153"/>
    <x v="2"/>
    <n v="2"/>
    <n v="1"/>
    <n v="2025"/>
    <s v="Jan"/>
    <x v="2"/>
    <x v="0"/>
    <x v="3"/>
    <d v="1899-12-30T10:30:00"/>
    <x v="153"/>
    <x v="4"/>
    <s v="Velachery"/>
    <x v="8"/>
    <s v="Snacks"/>
    <x v="3"/>
    <n v="33"/>
    <n v="132"/>
    <x v="2"/>
    <x v="127"/>
    <x v="1"/>
    <n v="15"/>
    <x v="0"/>
    <n v="2"/>
  </r>
  <r>
    <x v="154"/>
    <x v="1"/>
    <n v="6"/>
    <n v="1"/>
    <n v="2025"/>
    <s v="Jan"/>
    <x v="1"/>
    <x v="0"/>
    <x v="2"/>
    <d v="1899-12-30T18:45:00"/>
    <x v="154"/>
    <x v="1"/>
    <s v="Kukatpally"/>
    <x v="7"/>
    <s v="Grocery"/>
    <x v="3"/>
    <n v="113"/>
    <n v="452"/>
    <x v="1"/>
    <x v="2"/>
    <x v="1"/>
    <n v="20"/>
    <x v="1"/>
    <n v="4"/>
  </r>
  <r>
    <x v="155"/>
    <x v="9"/>
    <n v="1"/>
    <n v="1"/>
    <n v="2025"/>
    <s v="Jan"/>
    <x v="0"/>
    <x v="0"/>
    <x v="1"/>
    <d v="1899-12-30T09:05:00"/>
    <x v="155"/>
    <x v="6"/>
    <s v="Dwarka"/>
    <x v="4"/>
    <s v="Fruits"/>
    <x v="4"/>
    <n v="44"/>
    <n v="88"/>
    <x v="0"/>
    <x v="128"/>
    <x v="3"/>
    <n v="27"/>
    <x v="1"/>
    <n v="1"/>
  </r>
  <r>
    <x v="156"/>
    <x v="1"/>
    <n v="6"/>
    <n v="1"/>
    <n v="2025"/>
    <s v="Jan"/>
    <x v="1"/>
    <x v="0"/>
    <x v="0"/>
    <d v="1899-12-30T18:15:00"/>
    <x v="156"/>
    <x v="0"/>
    <s v="Velachery"/>
    <x v="1"/>
    <s v="Fruits"/>
    <x v="0"/>
    <n v="79"/>
    <n v="79"/>
    <x v="0"/>
    <x v="40"/>
    <x v="2"/>
    <n v="20"/>
    <x v="1"/>
    <n v="2"/>
  </r>
  <r>
    <x v="157"/>
    <x v="1"/>
    <n v="6"/>
    <n v="1"/>
    <n v="2025"/>
    <s v="Jan"/>
    <x v="1"/>
    <x v="0"/>
    <x v="1"/>
    <d v="1899-12-30T09:05:00"/>
    <x v="157"/>
    <x v="0"/>
    <s v="Hinjewadi"/>
    <x v="6"/>
    <s v="Vegetables"/>
    <x v="0"/>
    <n v="15"/>
    <n v="15"/>
    <x v="2"/>
    <x v="129"/>
    <x v="1"/>
    <n v="10"/>
    <x v="1"/>
    <n v="2"/>
  </r>
  <r>
    <x v="158"/>
    <x v="6"/>
    <n v="4"/>
    <n v="1"/>
    <n v="2025"/>
    <s v="Jan"/>
    <x v="3"/>
    <x v="1"/>
    <x v="2"/>
    <d v="1899-12-30T18:45:00"/>
    <x v="158"/>
    <x v="6"/>
    <s v="Rohini"/>
    <x v="7"/>
    <s v="Grocery"/>
    <x v="0"/>
    <n v="91"/>
    <n v="91"/>
    <x v="0"/>
    <x v="130"/>
    <x v="1"/>
    <n v="14"/>
    <x v="0"/>
    <n v="2"/>
  </r>
  <r>
    <x v="159"/>
    <x v="1"/>
    <n v="6"/>
    <n v="1"/>
    <n v="2025"/>
    <s v="Jan"/>
    <x v="1"/>
    <x v="0"/>
    <x v="0"/>
    <d v="1899-12-30T18:15:00"/>
    <x v="159"/>
    <x v="0"/>
    <s v="Rohini"/>
    <x v="3"/>
    <s v="Bakery"/>
    <x v="2"/>
    <n v="63"/>
    <n v="315"/>
    <x v="1"/>
    <x v="13"/>
    <x v="2"/>
    <n v="13"/>
    <x v="1"/>
    <n v="1"/>
  </r>
  <r>
    <x v="160"/>
    <x v="0"/>
    <n v="8"/>
    <n v="1"/>
    <n v="2025"/>
    <s v="Jan"/>
    <x v="0"/>
    <x v="0"/>
    <x v="3"/>
    <d v="1899-12-30T10:30:00"/>
    <x v="160"/>
    <x v="5"/>
    <s v="Andheri"/>
    <x v="8"/>
    <s v="Snacks"/>
    <x v="4"/>
    <n v="104"/>
    <n v="208"/>
    <x v="2"/>
    <x v="131"/>
    <x v="1"/>
    <n v="17"/>
    <x v="0"/>
    <n v="2"/>
  </r>
  <r>
    <x v="161"/>
    <x v="5"/>
    <n v="10"/>
    <n v="1"/>
    <n v="2025"/>
    <s v="Jan"/>
    <x v="4"/>
    <x v="0"/>
    <x v="3"/>
    <d v="1899-12-30T10:30:00"/>
    <x v="161"/>
    <x v="1"/>
    <s v="Rohini"/>
    <x v="8"/>
    <s v="Snacks"/>
    <x v="4"/>
    <n v="44"/>
    <n v="88"/>
    <x v="2"/>
    <x v="99"/>
    <x v="2"/>
    <n v="43"/>
    <x v="0"/>
    <n v="1"/>
  </r>
  <r>
    <x v="162"/>
    <x v="10"/>
    <n v="5"/>
    <n v="1"/>
    <n v="2025"/>
    <s v="Jan"/>
    <x v="6"/>
    <x v="1"/>
    <x v="2"/>
    <d v="1899-12-30T18:45:00"/>
    <x v="162"/>
    <x v="5"/>
    <s v="Rohini"/>
    <x v="2"/>
    <s v="Dairy"/>
    <x v="1"/>
    <n v="120"/>
    <n v="720"/>
    <x v="2"/>
    <x v="132"/>
    <x v="0"/>
    <n v="15"/>
    <x v="1"/>
    <n v="1"/>
  </r>
  <r>
    <x v="163"/>
    <x v="4"/>
    <n v="9"/>
    <n v="1"/>
    <n v="2025"/>
    <s v="Jan"/>
    <x v="2"/>
    <x v="0"/>
    <x v="3"/>
    <d v="1899-12-30T10:30:00"/>
    <x v="163"/>
    <x v="0"/>
    <s v="Dwarka"/>
    <x v="4"/>
    <s v="Fruits"/>
    <x v="0"/>
    <n v="80"/>
    <n v="80"/>
    <x v="1"/>
    <x v="133"/>
    <x v="0"/>
    <n v="47"/>
    <x v="1"/>
    <n v="5"/>
  </r>
  <r>
    <x v="164"/>
    <x v="8"/>
    <n v="3"/>
    <n v="1"/>
    <n v="2025"/>
    <s v="Jan"/>
    <x v="4"/>
    <x v="0"/>
    <x v="3"/>
    <d v="1899-12-30T10:30:00"/>
    <x v="164"/>
    <x v="2"/>
    <s v="Andheri"/>
    <x v="3"/>
    <s v="Bakery"/>
    <x v="2"/>
    <n v="79"/>
    <n v="395"/>
    <x v="2"/>
    <x v="21"/>
    <x v="1"/>
    <n v="12"/>
    <x v="0"/>
    <n v="0"/>
  </r>
  <r>
    <x v="165"/>
    <x v="5"/>
    <n v="10"/>
    <n v="1"/>
    <n v="2025"/>
    <s v="Jan"/>
    <x v="4"/>
    <x v="0"/>
    <x v="2"/>
    <d v="1899-12-30T18:45:00"/>
    <x v="165"/>
    <x v="0"/>
    <s v="Dwarka"/>
    <x v="4"/>
    <s v="Fruits"/>
    <x v="0"/>
    <n v="112"/>
    <n v="112"/>
    <x v="1"/>
    <x v="4"/>
    <x v="1"/>
    <n v="28"/>
    <x v="0"/>
    <n v="5"/>
  </r>
  <r>
    <x v="166"/>
    <x v="10"/>
    <n v="5"/>
    <n v="1"/>
    <n v="2025"/>
    <s v="Jan"/>
    <x v="6"/>
    <x v="1"/>
    <x v="1"/>
    <d v="1899-12-30T09:05:00"/>
    <x v="166"/>
    <x v="4"/>
    <s v="Dwarka"/>
    <x v="4"/>
    <s v="Fruits"/>
    <x v="5"/>
    <n v="62"/>
    <n v="186"/>
    <x v="1"/>
    <x v="134"/>
    <x v="1"/>
    <n v="19"/>
    <x v="0"/>
    <n v="3"/>
  </r>
  <r>
    <x v="167"/>
    <x v="1"/>
    <n v="6"/>
    <n v="1"/>
    <n v="2025"/>
    <s v="Jan"/>
    <x v="1"/>
    <x v="0"/>
    <x v="2"/>
    <d v="1899-12-30T18:45:00"/>
    <x v="167"/>
    <x v="6"/>
    <s v="Dwarka"/>
    <x v="5"/>
    <s v="Dairy"/>
    <x v="0"/>
    <n v="74"/>
    <n v="74"/>
    <x v="1"/>
    <x v="135"/>
    <x v="3"/>
    <n v="12"/>
    <x v="0"/>
    <n v="0"/>
  </r>
  <r>
    <x v="168"/>
    <x v="8"/>
    <n v="3"/>
    <n v="1"/>
    <n v="2025"/>
    <s v="Jan"/>
    <x v="4"/>
    <x v="0"/>
    <x v="2"/>
    <d v="1899-12-30T18:45:00"/>
    <x v="168"/>
    <x v="3"/>
    <s v="Hinjewadi"/>
    <x v="5"/>
    <s v="Dairy"/>
    <x v="3"/>
    <n v="84"/>
    <n v="336"/>
    <x v="0"/>
    <x v="136"/>
    <x v="1"/>
    <n v="41"/>
    <x v="0"/>
    <n v="3"/>
  </r>
  <r>
    <x v="169"/>
    <x v="5"/>
    <n v="10"/>
    <n v="1"/>
    <n v="2025"/>
    <s v="Jan"/>
    <x v="4"/>
    <x v="0"/>
    <x v="1"/>
    <d v="1899-12-30T09:05:00"/>
    <x v="169"/>
    <x v="6"/>
    <s v="Whitefield"/>
    <x v="3"/>
    <s v="Bakery"/>
    <x v="5"/>
    <n v="72"/>
    <n v="216"/>
    <x v="1"/>
    <x v="137"/>
    <x v="3"/>
    <n v="43"/>
    <x v="0"/>
    <n v="5"/>
  </r>
  <r>
    <x v="170"/>
    <x v="9"/>
    <n v="1"/>
    <n v="1"/>
    <n v="2025"/>
    <s v="Jan"/>
    <x v="0"/>
    <x v="0"/>
    <x v="2"/>
    <d v="1899-12-30T18:45:00"/>
    <x v="170"/>
    <x v="5"/>
    <s v="Andheri"/>
    <x v="0"/>
    <s v="Dairy"/>
    <x v="4"/>
    <n v="33"/>
    <n v="66"/>
    <x v="0"/>
    <x v="138"/>
    <x v="1"/>
    <n v="20"/>
    <x v="0"/>
    <n v="2"/>
  </r>
  <r>
    <x v="171"/>
    <x v="7"/>
    <n v="7"/>
    <n v="1"/>
    <n v="2025"/>
    <s v="Jan"/>
    <x v="5"/>
    <x v="0"/>
    <x v="0"/>
    <d v="1899-12-30T18:15:00"/>
    <x v="171"/>
    <x v="2"/>
    <s v="Dwarka"/>
    <x v="0"/>
    <s v="Dairy"/>
    <x v="1"/>
    <n v="26"/>
    <n v="156"/>
    <x v="1"/>
    <x v="120"/>
    <x v="2"/>
    <n v="22"/>
    <x v="0"/>
    <n v="2"/>
  </r>
  <r>
    <x v="172"/>
    <x v="0"/>
    <n v="8"/>
    <n v="1"/>
    <n v="2025"/>
    <s v="Jan"/>
    <x v="0"/>
    <x v="0"/>
    <x v="3"/>
    <d v="1899-12-30T10:30:00"/>
    <x v="172"/>
    <x v="5"/>
    <s v="Kukatpally"/>
    <x v="3"/>
    <s v="Bakery"/>
    <x v="0"/>
    <n v="80"/>
    <n v="80"/>
    <x v="1"/>
    <x v="133"/>
    <x v="2"/>
    <n v="14"/>
    <x v="0"/>
    <n v="5"/>
  </r>
  <r>
    <x v="173"/>
    <x v="9"/>
    <n v="1"/>
    <n v="1"/>
    <n v="2025"/>
    <s v="Jan"/>
    <x v="0"/>
    <x v="0"/>
    <x v="1"/>
    <d v="1899-12-30T09:05:00"/>
    <x v="173"/>
    <x v="4"/>
    <s v="Rohini"/>
    <x v="2"/>
    <s v="Dairy"/>
    <x v="2"/>
    <n v="64"/>
    <n v="320"/>
    <x v="1"/>
    <x v="94"/>
    <x v="1"/>
    <n v="46"/>
    <x v="1"/>
    <n v="1"/>
  </r>
  <r>
    <x v="174"/>
    <x v="7"/>
    <n v="7"/>
    <n v="1"/>
    <n v="2025"/>
    <s v="Jan"/>
    <x v="5"/>
    <x v="0"/>
    <x v="1"/>
    <d v="1899-12-30T09:05:00"/>
    <x v="174"/>
    <x v="6"/>
    <s v="Hinjewadi"/>
    <x v="8"/>
    <s v="Snacks"/>
    <x v="0"/>
    <n v="19"/>
    <n v="19"/>
    <x v="1"/>
    <x v="139"/>
    <x v="2"/>
    <n v="60"/>
    <x v="0"/>
    <n v="1"/>
  </r>
  <r>
    <x v="175"/>
    <x v="2"/>
    <n v="2"/>
    <n v="1"/>
    <n v="2025"/>
    <s v="Jan"/>
    <x v="2"/>
    <x v="0"/>
    <x v="0"/>
    <d v="1899-12-30T18:15:00"/>
    <x v="175"/>
    <x v="4"/>
    <s v="Rohini"/>
    <x v="7"/>
    <s v="Grocery"/>
    <x v="1"/>
    <n v="30"/>
    <n v="180"/>
    <x v="2"/>
    <x v="140"/>
    <x v="0"/>
    <n v="32"/>
    <x v="1"/>
    <n v="3"/>
  </r>
  <r>
    <x v="176"/>
    <x v="1"/>
    <n v="6"/>
    <n v="1"/>
    <n v="2025"/>
    <s v="Jan"/>
    <x v="1"/>
    <x v="0"/>
    <x v="0"/>
    <d v="1899-12-30T18:15:00"/>
    <x v="176"/>
    <x v="2"/>
    <s v="Andheri"/>
    <x v="1"/>
    <s v="Fruits"/>
    <x v="0"/>
    <n v="96"/>
    <n v="96"/>
    <x v="1"/>
    <x v="84"/>
    <x v="3"/>
    <n v="52"/>
    <x v="1"/>
    <n v="4"/>
  </r>
  <r>
    <x v="177"/>
    <x v="3"/>
    <n v="11"/>
    <n v="1"/>
    <n v="2025"/>
    <s v="Jan"/>
    <x v="3"/>
    <x v="1"/>
    <x v="1"/>
    <d v="1899-12-30T09:05:00"/>
    <x v="177"/>
    <x v="1"/>
    <s v="Hinjewadi"/>
    <x v="0"/>
    <s v="Dairy"/>
    <x v="5"/>
    <n v="91"/>
    <n v="273"/>
    <x v="2"/>
    <x v="141"/>
    <x v="1"/>
    <n v="46"/>
    <x v="0"/>
    <n v="2"/>
  </r>
  <r>
    <x v="178"/>
    <x v="6"/>
    <n v="4"/>
    <n v="1"/>
    <n v="2025"/>
    <s v="Jan"/>
    <x v="3"/>
    <x v="1"/>
    <x v="0"/>
    <d v="1899-12-30T18:15:00"/>
    <x v="178"/>
    <x v="1"/>
    <s v="Rohini"/>
    <x v="6"/>
    <s v="Vegetables"/>
    <x v="3"/>
    <n v="79"/>
    <n v="316"/>
    <x v="1"/>
    <x v="142"/>
    <x v="3"/>
    <n v="16"/>
    <x v="0"/>
    <n v="1"/>
  </r>
  <r>
    <x v="179"/>
    <x v="1"/>
    <n v="6"/>
    <n v="1"/>
    <n v="2025"/>
    <s v="Jan"/>
    <x v="1"/>
    <x v="0"/>
    <x v="0"/>
    <d v="1899-12-30T18:15:00"/>
    <x v="179"/>
    <x v="1"/>
    <s v="Rohini"/>
    <x v="2"/>
    <s v="Dairy"/>
    <x v="3"/>
    <n v="60"/>
    <n v="240"/>
    <x v="0"/>
    <x v="143"/>
    <x v="3"/>
    <n v="38"/>
    <x v="1"/>
    <n v="0"/>
  </r>
  <r>
    <x v="180"/>
    <x v="9"/>
    <n v="1"/>
    <n v="1"/>
    <n v="2025"/>
    <s v="Jan"/>
    <x v="0"/>
    <x v="0"/>
    <x v="2"/>
    <d v="1899-12-30T18:45:00"/>
    <x v="180"/>
    <x v="1"/>
    <s v="Gachibowli"/>
    <x v="2"/>
    <s v="Dairy"/>
    <x v="0"/>
    <n v="61"/>
    <n v="61"/>
    <x v="1"/>
    <x v="144"/>
    <x v="3"/>
    <n v="52"/>
    <x v="0"/>
    <n v="3"/>
  </r>
  <r>
    <x v="181"/>
    <x v="4"/>
    <n v="9"/>
    <n v="1"/>
    <n v="2025"/>
    <s v="Jan"/>
    <x v="2"/>
    <x v="0"/>
    <x v="3"/>
    <d v="1899-12-30T10:30:00"/>
    <x v="181"/>
    <x v="1"/>
    <s v="Gachibowli"/>
    <x v="8"/>
    <s v="Snacks"/>
    <x v="4"/>
    <n v="41"/>
    <n v="82"/>
    <x v="2"/>
    <x v="58"/>
    <x v="3"/>
    <n v="14"/>
    <x v="0"/>
    <n v="2"/>
  </r>
  <r>
    <x v="182"/>
    <x v="2"/>
    <n v="2"/>
    <n v="1"/>
    <n v="2025"/>
    <s v="Jan"/>
    <x v="2"/>
    <x v="0"/>
    <x v="1"/>
    <d v="1899-12-30T09:05:00"/>
    <x v="182"/>
    <x v="3"/>
    <s v="Kukatpally"/>
    <x v="4"/>
    <s v="Fruits"/>
    <x v="5"/>
    <n v="46"/>
    <n v="138"/>
    <x v="1"/>
    <x v="145"/>
    <x v="0"/>
    <n v="52"/>
    <x v="1"/>
    <n v="1"/>
  </r>
  <r>
    <x v="183"/>
    <x v="7"/>
    <n v="7"/>
    <n v="1"/>
    <n v="2025"/>
    <s v="Jan"/>
    <x v="5"/>
    <x v="0"/>
    <x v="3"/>
    <d v="1899-12-30T10:30:00"/>
    <x v="183"/>
    <x v="1"/>
    <s v="Andheri"/>
    <x v="1"/>
    <s v="Fruits"/>
    <x v="2"/>
    <n v="119"/>
    <n v="595"/>
    <x v="1"/>
    <x v="146"/>
    <x v="2"/>
    <n v="39"/>
    <x v="0"/>
    <n v="3"/>
  </r>
  <r>
    <x v="184"/>
    <x v="8"/>
    <n v="3"/>
    <n v="1"/>
    <n v="2025"/>
    <s v="Jan"/>
    <x v="4"/>
    <x v="0"/>
    <x v="0"/>
    <d v="1899-12-30T18:15:00"/>
    <x v="184"/>
    <x v="6"/>
    <s v="Rohini"/>
    <x v="6"/>
    <s v="Vegetables"/>
    <x v="0"/>
    <n v="87"/>
    <n v="87"/>
    <x v="1"/>
    <x v="29"/>
    <x v="2"/>
    <n v="54"/>
    <x v="0"/>
    <n v="0"/>
  </r>
  <r>
    <x v="185"/>
    <x v="5"/>
    <n v="10"/>
    <n v="1"/>
    <n v="2025"/>
    <s v="Jan"/>
    <x v="4"/>
    <x v="0"/>
    <x v="2"/>
    <d v="1899-12-30T18:45:00"/>
    <x v="185"/>
    <x v="2"/>
    <s v="Whitefield"/>
    <x v="7"/>
    <s v="Grocery"/>
    <x v="0"/>
    <n v="17"/>
    <n v="17"/>
    <x v="0"/>
    <x v="147"/>
    <x v="2"/>
    <n v="59"/>
    <x v="1"/>
    <n v="3"/>
  </r>
  <r>
    <x v="186"/>
    <x v="5"/>
    <n v="10"/>
    <n v="1"/>
    <n v="2025"/>
    <s v="Jan"/>
    <x v="4"/>
    <x v="0"/>
    <x v="0"/>
    <d v="1899-12-30T18:15:00"/>
    <x v="186"/>
    <x v="2"/>
    <s v="Whitefield"/>
    <x v="5"/>
    <s v="Dairy"/>
    <x v="2"/>
    <n v="52"/>
    <n v="260"/>
    <x v="1"/>
    <x v="148"/>
    <x v="2"/>
    <n v="29"/>
    <x v="1"/>
    <n v="1"/>
  </r>
  <r>
    <x v="187"/>
    <x v="2"/>
    <n v="2"/>
    <n v="1"/>
    <n v="2025"/>
    <s v="Jan"/>
    <x v="2"/>
    <x v="0"/>
    <x v="0"/>
    <d v="1899-12-30T18:15:00"/>
    <x v="187"/>
    <x v="1"/>
    <s v="Velachery"/>
    <x v="0"/>
    <s v="Dairy"/>
    <x v="3"/>
    <n v="22"/>
    <n v="88"/>
    <x v="0"/>
    <x v="128"/>
    <x v="0"/>
    <n v="35"/>
    <x v="1"/>
    <n v="2"/>
  </r>
  <r>
    <x v="188"/>
    <x v="8"/>
    <n v="3"/>
    <n v="1"/>
    <n v="2025"/>
    <s v="Jan"/>
    <x v="4"/>
    <x v="0"/>
    <x v="0"/>
    <d v="1899-12-30T18:15:00"/>
    <x v="188"/>
    <x v="0"/>
    <s v="Dwarka"/>
    <x v="8"/>
    <s v="Snacks"/>
    <x v="2"/>
    <n v="92"/>
    <n v="460"/>
    <x v="1"/>
    <x v="149"/>
    <x v="0"/>
    <n v="27"/>
    <x v="1"/>
    <n v="2"/>
  </r>
  <r>
    <x v="189"/>
    <x v="7"/>
    <n v="7"/>
    <n v="1"/>
    <n v="2025"/>
    <s v="Jan"/>
    <x v="5"/>
    <x v="0"/>
    <x v="2"/>
    <d v="1899-12-30T18:45:00"/>
    <x v="189"/>
    <x v="3"/>
    <s v="Kukatpally"/>
    <x v="6"/>
    <s v="Vegetables"/>
    <x v="5"/>
    <n v="31"/>
    <n v="93"/>
    <x v="2"/>
    <x v="55"/>
    <x v="0"/>
    <n v="39"/>
    <x v="0"/>
    <n v="3"/>
  </r>
  <r>
    <x v="190"/>
    <x v="7"/>
    <n v="7"/>
    <n v="1"/>
    <n v="2025"/>
    <s v="Jan"/>
    <x v="5"/>
    <x v="0"/>
    <x v="2"/>
    <d v="1899-12-30T18:45:00"/>
    <x v="190"/>
    <x v="5"/>
    <s v="Gachibowli"/>
    <x v="3"/>
    <s v="Bakery"/>
    <x v="4"/>
    <n v="12"/>
    <n v="24"/>
    <x v="0"/>
    <x v="150"/>
    <x v="1"/>
    <n v="39"/>
    <x v="1"/>
    <n v="5"/>
  </r>
  <r>
    <x v="191"/>
    <x v="6"/>
    <n v="4"/>
    <n v="1"/>
    <n v="2025"/>
    <s v="Jan"/>
    <x v="3"/>
    <x v="1"/>
    <x v="0"/>
    <d v="1899-12-30T18:15:00"/>
    <x v="191"/>
    <x v="2"/>
    <s v="Whitefield"/>
    <x v="5"/>
    <s v="Dairy"/>
    <x v="5"/>
    <n v="55"/>
    <n v="165"/>
    <x v="1"/>
    <x v="151"/>
    <x v="0"/>
    <n v="14"/>
    <x v="1"/>
    <n v="5"/>
  </r>
  <r>
    <x v="192"/>
    <x v="1"/>
    <n v="6"/>
    <n v="1"/>
    <n v="2025"/>
    <s v="Jan"/>
    <x v="1"/>
    <x v="0"/>
    <x v="0"/>
    <d v="1899-12-30T18:15:00"/>
    <x v="192"/>
    <x v="1"/>
    <s v="Rohini"/>
    <x v="3"/>
    <s v="Bakery"/>
    <x v="3"/>
    <n v="20"/>
    <n v="90"/>
    <x v="1"/>
    <x v="133"/>
    <x v="1"/>
    <n v="58"/>
    <x v="0"/>
    <n v="5"/>
  </r>
  <r>
    <x v="193"/>
    <x v="10"/>
    <n v="5"/>
    <n v="1"/>
    <n v="2025"/>
    <s v="Jan"/>
    <x v="6"/>
    <x v="1"/>
    <x v="0"/>
    <d v="1899-12-30T18:15:00"/>
    <x v="193"/>
    <x v="5"/>
    <s v="Gachibowli"/>
    <x v="0"/>
    <s v="Dairy"/>
    <x v="3"/>
    <n v="56"/>
    <n v="224"/>
    <x v="1"/>
    <x v="45"/>
    <x v="0"/>
    <n v="33"/>
    <x v="0"/>
    <n v="2"/>
  </r>
  <r>
    <x v="194"/>
    <x v="0"/>
    <n v="8"/>
    <n v="1"/>
    <n v="2025"/>
    <s v="Jan"/>
    <x v="0"/>
    <x v="0"/>
    <x v="0"/>
    <d v="1899-12-30T18:15:00"/>
    <x v="194"/>
    <x v="2"/>
    <s v="Andheri"/>
    <x v="4"/>
    <s v="Fruits"/>
    <x v="4"/>
    <n v="58"/>
    <n v="116"/>
    <x v="0"/>
    <x v="152"/>
    <x v="1"/>
    <n v="20"/>
    <x v="0"/>
    <n v="5"/>
  </r>
  <r>
    <x v="195"/>
    <x v="1"/>
    <n v="6"/>
    <n v="1"/>
    <n v="2025"/>
    <s v="Jan"/>
    <x v="1"/>
    <x v="0"/>
    <x v="2"/>
    <d v="1899-12-30T18:45:00"/>
    <x v="195"/>
    <x v="5"/>
    <s v="Kukatpally"/>
    <x v="0"/>
    <s v="Dairy"/>
    <x v="1"/>
    <n v="66"/>
    <n v="396"/>
    <x v="0"/>
    <x v="153"/>
    <x v="3"/>
    <n v="14"/>
    <x v="0"/>
    <n v="2"/>
  </r>
  <r>
    <x v="196"/>
    <x v="10"/>
    <n v="5"/>
    <n v="1"/>
    <n v="2025"/>
    <s v="Jan"/>
    <x v="6"/>
    <x v="1"/>
    <x v="0"/>
    <d v="1899-12-30T18:15:00"/>
    <x v="196"/>
    <x v="0"/>
    <s v="Rohini"/>
    <x v="5"/>
    <s v="Dairy"/>
    <x v="2"/>
    <n v="75"/>
    <n v="375"/>
    <x v="1"/>
    <x v="154"/>
    <x v="1"/>
    <n v="54"/>
    <x v="1"/>
    <n v="4"/>
  </r>
  <r>
    <x v="197"/>
    <x v="0"/>
    <n v="8"/>
    <n v="1"/>
    <n v="2025"/>
    <s v="Jan"/>
    <x v="0"/>
    <x v="0"/>
    <x v="3"/>
    <d v="1899-12-30T10:30:00"/>
    <x v="197"/>
    <x v="2"/>
    <s v="Andheri"/>
    <x v="3"/>
    <s v="Bakery"/>
    <x v="2"/>
    <n v="119"/>
    <n v="595"/>
    <x v="2"/>
    <x v="155"/>
    <x v="0"/>
    <n v="28"/>
    <x v="1"/>
    <n v="4"/>
  </r>
  <r>
    <x v="198"/>
    <x v="0"/>
    <n v="8"/>
    <n v="1"/>
    <n v="2025"/>
    <s v="Jan"/>
    <x v="0"/>
    <x v="0"/>
    <x v="1"/>
    <d v="1899-12-30T09:05:00"/>
    <x v="198"/>
    <x v="5"/>
    <s v="Velachery"/>
    <x v="0"/>
    <s v="Dairy"/>
    <x v="2"/>
    <n v="110"/>
    <n v="550"/>
    <x v="0"/>
    <x v="72"/>
    <x v="2"/>
    <n v="45"/>
    <x v="0"/>
    <n v="3"/>
  </r>
  <r>
    <x v="199"/>
    <x v="1"/>
    <n v="6"/>
    <n v="1"/>
    <n v="2025"/>
    <s v="Jan"/>
    <x v="1"/>
    <x v="0"/>
    <x v="0"/>
    <d v="1899-12-30T18:15:00"/>
    <x v="199"/>
    <x v="0"/>
    <s v="Velachery"/>
    <x v="2"/>
    <s v="Dairy"/>
    <x v="3"/>
    <n v="39"/>
    <n v="156"/>
    <x v="2"/>
    <x v="156"/>
    <x v="2"/>
    <n v="17"/>
    <x v="1"/>
    <n v="2"/>
  </r>
  <r>
    <x v="200"/>
    <x v="10"/>
    <n v="5"/>
    <n v="1"/>
    <n v="2025"/>
    <s v="Jan"/>
    <x v="6"/>
    <x v="1"/>
    <x v="1"/>
    <d v="1899-12-30T09:05:00"/>
    <x v="200"/>
    <x v="6"/>
    <s v="Gachibowli"/>
    <x v="7"/>
    <s v="Grocery"/>
    <x v="4"/>
    <n v="32"/>
    <n v="64"/>
    <x v="0"/>
    <x v="157"/>
    <x v="1"/>
    <n v="57"/>
    <x v="1"/>
    <n v="3"/>
  </r>
  <r>
    <x v="201"/>
    <x v="2"/>
    <n v="2"/>
    <n v="1"/>
    <n v="2025"/>
    <s v="Jan"/>
    <x v="2"/>
    <x v="0"/>
    <x v="0"/>
    <d v="1899-12-30T18:15:00"/>
    <x v="201"/>
    <x v="1"/>
    <s v="Velachery"/>
    <x v="5"/>
    <s v="Dairy"/>
    <x v="0"/>
    <n v="13"/>
    <n v="13"/>
    <x v="1"/>
    <x v="158"/>
    <x v="0"/>
    <n v="30"/>
    <x v="1"/>
    <n v="3"/>
  </r>
  <r>
    <x v="202"/>
    <x v="10"/>
    <n v="5"/>
    <n v="1"/>
    <n v="2025"/>
    <s v="Jan"/>
    <x v="6"/>
    <x v="1"/>
    <x v="0"/>
    <d v="1899-12-30T18:15:00"/>
    <x v="202"/>
    <x v="3"/>
    <s v="Whitefield"/>
    <x v="5"/>
    <s v="Dairy"/>
    <x v="5"/>
    <n v="13"/>
    <n v="39"/>
    <x v="1"/>
    <x v="159"/>
    <x v="3"/>
    <n v="15"/>
    <x v="0"/>
    <n v="1"/>
  </r>
  <r>
    <x v="203"/>
    <x v="4"/>
    <n v="9"/>
    <n v="1"/>
    <n v="2025"/>
    <s v="Jan"/>
    <x v="2"/>
    <x v="0"/>
    <x v="1"/>
    <d v="1899-12-30T09:05:00"/>
    <x v="203"/>
    <x v="0"/>
    <s v="Gachibowli"/>
    <x v="8"/>
    <s v="Snacks"/>
    <x v="3"/>
    <n v="65"/>
    <n v="260"/>
    <x v="0"/>
    <x v="160"/>
    <x v="3"/>
    <n v="39"/>
    <x v="1"/>
    <n v="0"/>
  </r>
  <r>
    <x v="204"/>
    <x v="5"/>
    <n v="10"/>
    <n v="1"/>
    <n v="2025"/>
    <s v="Jan"/>
    <x v="4"/>
    <x v="0"/>
    <x v="3"/>
    <d v="1899-12-30T10:30:00"/>
    <x v="204"/>
    <x v="0"/>
    <s v="Dwarka"/>
    <x v="3"/>
    <s v="Bakery"/>
    <x v="2"/>
    <n v="36"/>
    <n v="180"/>
    <x v="1"/>
    <x v="30"/>
    <x v="3"/>
    <n v="59"/>
    <x v="0"/>
    <n v="3"/>
  </r>
  <r>
    <x v="205"/>
    <x v="7"/>
    <n v="7"/>
    <n v="1"/>
    <n v="2025"/>
    <s v="Jan"/>
    <x v="5"/>
    <x v="0"/>
    <x v="1"/>
    <d v="1899-12-30T09:05:00"/>
    <x v="205"/>
    <x v="6"/>
    <s v="Gachibowli"/>
    <x v="6"/>
    <s v="Vegetables"/>
    <x v="1"/>
    <n v="39"/>
    <n v="234"/>
    <x v="0"/>
    <x v="45"/>
    <x v="3"/>
    <n v="15"/>
    <x v="1"/>
    <n v="1"/>
  </r>
  <r>
    <x v="206"/>
    <x v="7"/>
    <n v="7"/>
    <n v="1"/>
    <n v="2025"/>
    <s v="Jan"/>
    <x v="5"/>
    <x v="0"/>
    <x v="2"/>
    <d v="1899-12-30T18:45:00"/>
    <x v="206"/>
    <x v="0"/>
    <s v="Kukatpally"/>
    <x v="4"/>
    <s v="Fruits"/>
    <x v="5"/>
    <n v="89"/>
    <n v="267"/>
    <x v="1"/>
    <x v="161"/>
    <x v="1"/>
    <n v="33"/>
    <x v="1"/>
    <n v="0"/>
  </r>
  <r>
    <x v="207"/>
    <x v="0"/>
    <n v="8"/>
    <n v="1"/>
    <n v="2025"/>
    <s v="Jan"/>
    <x v="0"/>
    <x v="0"/>
    <x v="2"/>
    <d v="1899-12-30T18:45:00"/>
    <x v="207"/>
    <x v="0"/>
    <s v="Dwarka"/>
    <x v="2"/>
    <s v="Dairy"/>
    <x v="1"/>
    <n v="57"/>
    <n v="342"/>
    <x v="1"/>
    <x v="162"/>
    <x v="1"/>
    <n v="15"/>
    <x v="1"/>
    <n v="3"/>
  </r>
  <r>
    <x v="208"/>
    <x v="1"/>
    <n v="6"/>
    <n v="1"/>
    <n v="2025"/>
    <s v="Jan"/>
    <x v="1"/>
    <x v="0"/>
    <x v="3"/>
    <d v="1899-12-30T10:30:00"/>
    <x v="208"/>
    <x v="0"/>
    <s v="Hinjewadi"/>
    <x v="0"/>
    <s v="Dairy"/>
    <x v="3"/>
    <n v="54"/>
    <n v="216"/>
    <x v="1"/>
    <x v="137"/>
    <x v="1"/>
    <n v="16"/>
    <x v="1"/>
    <n v="2"/>
  </r>
  <r>
    <x v="209"/>
    <x v="1"/>
    <n v="6"/>
    <n v="1"/>
    <n v="2025"/>
    <s v="Jan"/>
    <x v="1"/>
    <x v="0"/>
    <x v="2"/>
    <d v="1899-12-30T18:45:00"/>
    <x v="209"/>
    <x v="2"/>
    <s v="Andheri"/>
    <x v="8"/>
    <s v="Snacks"/>
    <x v="2"/>
    <n v="55"/>
    <n v="275"/>
    <x v="1"/>
    <x v="51"/>
    <x v="1"/>
    <n v="13"/>
    <x v="1"/>
    <n v="2"/>
  </r>
  <r>
    <x v="210"/>
    <x v="1"/>
    <n v="6"/>
    <n v="1"/>
    <n v="2025"/>
    <s v="Jan"/>
    <x v="1"/>
    <x v="0"/>
    <x v="1"/>
    <d v="1899-12-30T09:05:00"/>
    <x v="210"/>
    <x v="2"/>
    <s v="Dwarka"/>
    <x v="2"/>
    <s v="Dairy"/>
    <x v="2"/>
    <n v="10"/>
    <n v="50"/>
    <x v="1"/>
    <x v="49"/>
    <x v="2"/>
    <n v="40"/>
    <x v="0"/>
    <n v="0"/>
  </r>
  <r>
    <x v="211"/>
    <x v="5"/>
    <n v="10"/>
    <n v="1"/>
    <n v="2025"/>
    <s v="Jan"/>
    <x v="4"/>
    <x v="0"/>
    <x v="2"/>
    <d v="1899-12-30T18:45:00"/>
    <x v="211"/>
    <x v="4"/>
    <s v="Gachibowli"/>
    <x v="2"/>
    <s v="Dairy"/>
    <x v="3"/>
    <n v="74"/>
    <n v="296"/>
    <x v="0"/>
    <x v="163"/>
    <x v="1"/>
    <n v="30"/>
    <x v="1"/>
    <n v="4"/>
  </r>
  <r>
    <x v="212"/>
    <x v="7"/>
    <n v="7"/>
    <n v="1"/>
    <n v="2025"/>
    <s v="Jan"/>
    <x v="5"/>
    <x v="0"/>
    <x v="1"/>
    <d v="1899-12-30T09:05:00"/>
    <x v="212"/>
    <x v="4"/>
    <s v="Gachibowli"/>
    <x v="5"/>
    <s v="Dairy"/>
    <x v="2"/>
    <n v="60"/>
    <n v="300"/>
    <x v="1"/>
    <x v="164"/>
    <x v="2"/>
    <n v="47"/>
    <x v="0"/>
    <n v="3"/>
  </r>
  <r>
    <x v="213"/>
    <x v="2"/>
    <n v="2"/>
    <n v="1"/>
    <n v="2025"/>
    <s v="Jan"/>
    <x v="2"/>
    <x v="0"/>
    <x v="3"/>
    <d v="1899-12-30T10:30:00"/>
    <x v="213"/>
    <x v="0"/>
    <s v="Rohini"/>
    <x v="4"/>
    <s v="Fruits"/>
    <x v="3"/>
    <n v="38"/>
    <n v="152"/>
    <x v="0"/>
    <x v="165"/>
    <x v="1"/>
    <n v="41"/>
    <x v="1"/>
    <n v="5"/>
  </r>
  <r>
    <x v="214"/>
    <x v="4"/>
    <n v="9"/>
    <n v="1"/>
    <n v="2025"/>
    <s v="Jan"/>
    <x v="2"/>
    <x v="0"/>
    <x v="2"/>
    <d v="1899-12-30T18:45:00"/>
    <x v="214"/>
    <x v="0"/>
    <s v="Andheri"/>
    <x v="4"/>
    <s v="Fruits"/>
    <x v="1"/>
    <n v="78"/>
    <n v="468"/>
    <x v="2"/>
    <x v="108"/>
    <x v="0"/>
    <n v="53"/>
    <x v="1"/>
    <n v="0"/>
  </r>
  <r>
    <x v="215"/>
    <x v="7"/>
    <n v="7"/>
    <n v="1"/>
    <n v="2025"/>
    <s v="Jan"/>
    <x v="5"/>
    <x v="0"/>
    <x v="0"/>
    <d v="1899-12-30T18:15:00"/>
    <x v="215"/>
    <x v="0"/>
    <s v="Hinjewadi"/>
    <x v="1"/>
    <s v="Fruits"/>
    <x v="2"/>
    <n v="42"/>
    <n v="210"/>
    <x v="2"/>
    <x v="77"/>
    <x v="3"/>
    <n v="55"/>
    <x v="1"/>
    <n v="5"/>
  </r>
  <r>
    <x v="216"/>
    <x v="3"/>
    <n v="11"/>
    <n v="1"/>
    <n v="2025"/>
    <s v="Jan"/>
    <x v="3"/>
    <x v="1"/>
    <x v="0"/>
    <d v="1899-12-30T18:15:00"/>
    <x v="216"/>
    <x v="2"/>
    <s v="Rohini"/>
    <x v="8"/>
    <s v="Snacks"/>
    <x v="4"/>
    <n v="117"/>
    <n v="234"/>
    <x v="0"/>
    <x v="45"/>
    <x v="2"/>
    <n v="56"/>
    <x v="1"/>
    <n v="1"/>
  </r>
  <r>
    <x v="217"/>
    <x v="8"/>
    <n v="3"/>
    <n v="1"/>
    <n v="2025"/>
    <s v="Jan"/>
    <x v="4"/>
    <x v="0"/>
    <x v="2"/>
    <d v="1899-12-30T18:45:00"/>
    <x v="217"/>
    <x v="0"/>
    <s v="Dwarka"/>
    <x v="2"/>
    <s v="Dairy"/>
    <x v="3"/>
    <n v="17"/>
    <n v="68"/>
    <x v="2"/>
    <x v="39"/>
    <x v="1"/>
    <n v="46"/>
    <x v="0"/>
    <n v="4"/>
  </r>
  <r>
    <x v="218"/>
    <x v="7"/>
    <n v="7"/>
    <n v="1"/>
    <n v="2025"/>
    <s v="Jan"/>
    <x v="5"/>
    <x v="0"/>
    <x v="0"/>
    <d v="1899-12-30T18:15:00"/>
    <x v="218"/>
    <x v="5"/>
    <s v="Hinjewadi"/>
    <x v="3"/>
    <s v="Bakery"/>
    <x v="0"/>
    <n v="68"/>
    <n v="68"/>
    <x v="2"/>
    <x v="39"/>
    <x v="1"/>
    <n v="39"/>
    <x v="0"/>
    <n v="3"/>
  </r>
  <r>
    <x v="219"/>
    <x v="0"/>
    <n v="8"/>
    <n v="1"/>
    <n v="2025"/>
    <s v="Jan"/>
    <x v="0"/>
    <x v="0"/>
    <x v="1"/>
    <d v="1899-12-30T09:05:00"/>
    <x v="219"/>
    <x v="2"/>
    <s v="Hinjewadi"/>
    <x v="8"/>
    <s v="Snacks"/>
    <x v="4"/>
    <n v="94"/>
    <n v="188"/>
    <x v="1"/>
    <x v="166"/>
    <x v="1"/>
    <n v="53"/>
    <x v="1"/>
    <n v="5"/>
  </r>
  <r>
    <x v="220"/>
    <x v="9"/>
    <n v="1"/>
    <n v="1"/>
    <n v="2025"/>
    <s v="Jan"/>
    <x v="0"/>
    <x v="0"/>
    <x v="2"/>
    <d v="1899-12-30T18:45:00"/>
    <x v="220"/>
    <x v="0"/>
    <s v="Velachery"/>
    <x v="0"/>
    <s v="Dairy"/>
    <x v="1"/>
    <n v="67"/>
    <n v="402"/>
    <x v="1"/>
    <x v="167"/>
    <x v="1"/>
    <n v="14"/>
    <x v="0"/>
    <n v="0"/>
  </r>
  <r>
    <x v="221"/>
    <x v="4"/>
    <n v="9"/>
    <n v="1"/>
    <n v="2025"/>
    <s v="Jan"/>
    <x v="2"/>
    <x v="0"/>
    <x v="0"/>
    <d v="1899-12-30T18:15:00"/>
    <x v="221"/>
    <x v="5"/>
    <s v="Hinjewadi"/>
    <x v="8"/>
    <s v="Snacks"/>
    <x v="5"/>
    <n v="84"/>
    <n v="252"/>
    <x v="1"/>
    <x v="168"/>
    <x v="2"/>
    <n v="49"/>
    <x v="1"/>
    <n v="4"/>
  </r>
  <r>
    <x v="222"/>
    <x v="4"/>
    <n v="9"/>
    <n v="1"/>
    <n v="2025"/>
    <s v="Jan"/>
    <x v="2"/>
    <x v="0"/>
    <x v="2"/>
    <d v="1899-12-30T18:45:00"/>
    <x v="222"/>
    <x v="5"/>
    <s v="Dwarka"/>
    <x v="0"/>
    <s v="Dairy"/>
    <x v="2"/>
    <n v="113"/>
    <n v="565"/>
    <x v="1"/>
    <x v="169"/>
    <x v="2"/>
    <n v="45"/>
    <x v="0"/>
    <n v="5"/>
  </r>
  <r>
    <x v="223"/>
    <x v="5"/>
    <n v="10"/>
    <n v="1"/>
    <n v="2025"/>
    <s v="Jan"/>
    <x v="4"/>
    <x v="0"/>
    <x v="3"/>
    <d v="1899-12-30T10:30:00"/>
    <x v="223"/>
    <x v="1"/>
    <s v="Gachibowli"/>
    <x v="1"/>
    <s v="Fruits"/>
    <x v="3"/>
    <n v="111"/>
    <n v="444"/>
    <x v="2"/>
    <x v="170"/>
    <x v="3"/>
    <n v="36"/>
    <x v="0"/>
    <n v="5"/>
  </r>
  <r>
    <x v="224"/>
    <x v="6"/>
    <n v="4"/>
    <n v="1"/>
    <n v="2025"/>
    <s v="Jan"/>
    <x v="3"/>
    <x v="1"/>
    <x v="1"/>
    <d v="1899-12-30T09:05:00"/>
    <x v="224"/>
    <x v="6"/>
    <s v="Whitefield"/>
    <x v="7"/>
    <s v="Grocery"/>
    <x v="3"/>
    <n v="46"/>
    <n v="184"/>
    <x v="1"/>
    <x v="101"/>
    <x v="3"/>
    <n v="39"/>
    <x v="1"/>
    <n v="4"/>
  </r>
  <r>
    <x v="225"/>
    <x v="7"/>
    <n v="7"/>
    <n v="1"/>
    <n v="2025"/>
    <s v="Jan"/>
    <x v="5"/>
    <x v="0"/>
    <x v="0"/>
    <d v="1899-12-30T18:15:00"/>
    <x v="225"/>
    <x v="1"/>
    <s v="Kukatpally"/>
    <x v="6"/>
    <s v="Vegetables"/>
    <x v="1"/>
    <n v="40"/>
    <n v="240"/>
    <x v="1"/>
    <x v="171"/>
    <x v="1"/>
    <n v="34"/>
    <x v="0"/>
    <n v="0"/>
  </r>
  <r>
    <x v="226"/>
    <x v="9"/>
    <n v="1"/>
    <n v="1"/>
    <n v="2025"/>
    <s v="Jan"/>
    <x v="0"/>
    <x v="0"/>
    <x v="0"/>
    <d v="1899-12-30T18:15:00"/>
    <x v="226"/>
    <x v="3"/>
    <s v="Dwarka"/>
    <x v="3"/>
    <s v="Bakery"/>
    <x v="1"/>
    <n v="18"/>
    <n v="108"/>
    <x v="2"/>
    <x v="172"/>
    <x v="2"/>
    <n v="13"/>
    <x v="0"/>
    <n v="1"/>
  </r>
  <r>
    <x v="227"/>
    <x v="0"/>
    <n v="8"/>
    <n v="1"/>
    <n v="2025"/>
    <s v="Jan"/>
    <x v="0"/>
    <x v="0"/>
    <x v="0"/>
    <d v="1899-12-30T18:15:00"/>
    <x v="227"/>
    <x v="1"/>
    <s v="Rohini"/>
    <x v="3"/>
    <s v="Bakery"/>
    <x v="1"/>
    <n v="90"/>
    <n v="540"/>
    <x v="0"/>
    <x v="173"/>
    <x v="2"/>
    <n v="42"/>
    <x v="1"/>
    <n v="4"/>
  </r>
  <r>
    <x v="228"/>
    <x v="3"/>
    <n v="11"/>
    <n v="1"/>
    <n v="2025"/>
    <s v="Jan"/>
    <x v="3"/>
    <x v="1"/>
    <x v="2"/>
    <d v="1899-12-30T18:45:00"/>
    <x v="228"/>
    <x v="2"/>
    <s v="Andheri"/>
    <x v="7"/>
    <s v="Grocery"/>
    <x v="4"/>
    <n v="68"/>
    <n v="136"/>
    <x v="0"/>
    <x v="174"/>
    <x v="3"/>
    <n v="44"/>
    <x v="0"/>
    <n v="1"/>
  </r>
  <r>
    <x v="229"/>
    <x v="9"/>
    <n v="1"/>
    <n v="1"/>
    <n v="2025"/>
    <s v="Jan"/>
    <x v="0"/>
    <x v="0"/>
    <x v="3"/>
    <d v="1899-12-30T10:30:00"/>
    <x v="229"/>
    <x v="5"/>
    <s v="Dwarka"/>
    <x v="6"/>
    <s v="Vegetables"/>
    <x v="4"/>
    <n v="47"/>
    <n v="94"/>
    <x v="2"/>
    <x v="175"/>
    <x v="1"/>
    <n v="60"/>
    <x v="0"/>
    <n v="2"/>
  </r>
  <r>
    <x v="230"/>
    <x v="8"/>
    <n v="3"/>
    <n v="1"/>
    <n v="2025"/>
    <s v="Jan"/>
    <x v="4"/>
    <x v="0"/>
    <x v="1"/>
    <d v="1899-12-30T09:05:00"/>
    <x v="230"/>
    <x v="2"/>
    <s v="Dwarka"/>
    <x v="8"/>
    <s v="Snacks"/>
    <x v="1"/>
    <n v="111"/>
    <n v="666"/>
    <x v="1"/>
    <x v="176"/>
    <x v="2"/>
    <n v="34"/>
    <x v="0"/>
    <n v="4"/>
  </r>
  <r>
    <x v="231"/>
    <x v="0"/>
    <n v="8"/>
    <n v="1"/>
    <n v="2025"/>
    <s v="Jan"/>
    <x v="0"/>
    <x v="0"/>
    <x v="2"/>
    <d v="1899-12-30T18:45:00"/>
    <x v="231"/>
    <x v="3"/>
    <s v="Dwarka"/>
    <x v="0"/>
    <s v="Dairy"/>
    <x v="2"/>
    <n v="69"/>
    <n v="345"/>
    <x v="0"/>
    <x v="33"/>
    <x v="0"/>
    <n v="54"/>
    <x v="1"/>
    <n v="4"/>
  </r>
  <r>
    <x v="232"/>
    <x v="3"/>
    <n v="11"/>
    <n v="1"/>
    <n v="2025"/>
    <s v="Jan"/>
    <x v="3"/>
    <x v="1"/>
    <x v="1"/>
    <d v="1899-12-30T09:05:00"/>
    <x v="232"/>
    <x v="0"/>
    <s v="Kukatpally"/>
    <x v="0"/>
    <s v="Dairy"/>
    <x v="4"/>
    <n v="103"/>
    <n v="206"/>
    <x v="2"/>
    <x v="177"/>
    <x v="3"/>
    <n v="18"/>
    <x v="0"/>
    <n v="1"/>
  </r>
  <r>
    <x v="233"/>
    <x v="5"/>
    <n v="10"/>
    <n v="1"/>
    <n v="2025"/>
    <s v="Jan"/>
    <x v="4"/>
    <x v="0"/>
    <x v="0"/>
    <d v="1899-12-30T18:15:00"/>
    <x v="233"/>
    <x v="4"/>
    <s v="Velachery"/>
    <x v="2"/>
    <s v="Dairy"/>
    <x v="3"/>
    <n v="38"/>
    <n v="152"/>
    <x v="1"/>
    <x v="178"/>
    <x v="1"/>
    <n v="57"/>
    <x v="1"/>
    <n v="2"/>
  </r>
  <r>
    <x v="234"/>
    <x v="8"/>
    <n v="3"/>
    <n v="1"/>
    <n v="2025"/>
    <s v="Jan"/>
    <x v="4"/>
    <x v="0"/>
    <x v="0"/>
    <d v="1899-12-30T18:15:00"/>
    <x v="234"/>
    <x v="4"/>
    <s v="Andheri"/>
    <x v="5"/>
    <s v="Dairy"/>
    <x v="4"/>
    <n v="60"/>
    <n v="120"/>
    <x v="2"/>
    <x v="179"/>
    <x v="2"/>
    <n v="60"/>
    <x v="1"/>
    <n v="3"/>
  </r>
  <r>
    <x v="235"/>
    <x v="3"/>
    <n v="11"/>
    <n v="1"/>
    <n v="2025"/>
    <s v="Jan"/>
    <x v="3"/>
    <x v="1"/>
    <x v="3"/>
    <d v="1899-12-30T10:30:00"/>
    <x v="235"/>
    <x v="1"/>
    <s v="Hinjewadi"/>
    <x v="3"/>
    <s v="Bakery"/>
    <x v="2"/>
    <n v="72"/>
    <n v="360"/>
    <x v="1"/>
    <x v="180"/>
    <x v="2"/>
    <n v="38"/>
    <x v="0"/>
    <n v="1"/>
  </r>
  <r>
    <x v="236"/>
    <x v="6"/>
    <n v="4"/>
    <n v="1"/>
    <n v="2025"/>
    <s v="Jan"/>
    <x v="3"/>
    <x v="1"/>
    <x v="0"/>
    <d v="1899-12-30T18:15:00"/>
    <x v="236"/>
    <x v="5"/>
    <s v="Whitefield"/>
    <x v="0"/>
    <s v="Dairy"/>
    <x v="0"/>
    <n v="81"/>
    <n v="81"/>
    <x v="1"/>
    <x v="130"/>
    <x v="1"/>
    <n v="27"/>
    <x v="1"/>
    <n v="3"/>
  </r>
  <r>
    <x v="237"/>
    <x v="9"/>
    <n v="1"/>
    <n v="1"/>
    <n v="2025"/>
    <s v="Jan"/>
    <x v="0"/>
    <x v="0"/>
    <x v="2"/>
    <d v="1899-12-30T18:45:00"/>
    <x v="237"/>
    <x v="3"/>
    <s v="Kukatpally"/>
    <x v="7"/>
    <s v="Grocery"/>
    <x v="3"/>
    <n v="52"/>
    <n v="208"/>
    <x v="1"/>
    <x v="181"/>
    <x v="1"/>
    <n v="39"/>
    <x v="1"/>
    <n v="0"/>
  </r>
  <r>
    <x v="238"/>
    <x v="0"/>
    <n v="8"/>
    <n v="1"/>
    <n v="2025"/>
    <s v="Jan"/>
    <x v="0"/>
    <x v="0"/>
    <x v="3"/>
    <d v="1899-12-30T10:30:00"/>
    <x v="238"/>
    <x v="0"/>
    <s v="Velachery"/>
    <x v="2"/>
    <s v="Dairy"/>
    <x v="1"/>
    <n v="83"/>
    <n v="498"/>
    <x v="1"/>
    <x v="182"/>
    <x v="1"/>
    <n v="48"/>
    <x v="1"/>
    <n v="5"/>
  </r>
  <r>
    <x v="239"/>
    <x v="4"/>
    <n v="9"/>
    <n v="1"/>
    <n v="2025"/>
    <s v="Jan"/>
    <x v="2"/>
    <x v="0"/>
    <x v="1"/>
    <d v="1899-12-30T09:05:00"/>
    <x v="239"/>
    <x v="0"/>
    <s v="Dwarka"/>
    <x v="2"/>
    <s v="Dairy"/>
    <x v="2"/>
    <n v="50"/>
    <n v="250"/>
    <x v="1"/>
    <x v="160"/>
    <x v="0"/>
    <n v="47"/>
    <x v="1"/>
    <n v="1"/>
  </r>
  <r>
    <x v="240"/>
    <x v="6"/>
    <n v="4"/>
    <n v="1"/>
    <n v="2025"/>
    <s v="Jan"/>
    <x v="3"/>
    <x v="1"/>
    <x v="3"/>
    <d v="1899-12-30T10:30:00"/>
    <x v="240"/>
    <x v="1"/>
    <s v="Dwarka"/>
    <x v="8"/>
    <s v="Snacks"/>
    <x v="1"/>
    <n v="11"/>
    <n v="66"/>
    <x v="1"/>
    <x v="183"/>
    <x v="3"/>
    <n v="13"/>
    <x v="1"/>
    <n v="4"/>
  </r>
  <r>
    <x v="241"/>
    <x v="8"/>
    <n v="3"/>
    <n v="1"/>
    <n v="2025"/>
    <s v="Jan"/>
    <x v="4"/>
    <x v="0"/>
    <x v="1"/>
    <d v="1899-12-30T09:05:00"/>
    <x v="241"/>
    <x v="0"/>
    <s v="Hinjewadi"/>
    <x v="3"/>
    <s v="Bakery"/>
    <x v="4"/>
    <n v="55"/>
    <n v="110"/>
    <x v="1"/>
    <x v="184"/>
    <x v="1"/>
    <n v="50"/>
    <x v="0"/>
    <n v="4"/>
  </r>
  <r>
    <x v="242"/>
    <x v="4"/>
    <n v="9"/>
    <n v="1"/>
    <n v="2025"/>
    <s v="Jan"/>
    <x v="2"/>
    <x v="0"/>
    <x v="3"/>
    <d v="1899-12-30T10:30:00"/>
    <x v="242"/>
    <x v="0"/>
    <s v="Gachibowli"/>
    <x v="0"/>
    <s v="Dairy"/>
    <x v="2"/>
    <n v="81"/>
    <n v="405"/>
    <x v="1"/>
    <x v="79"/>
    <x v="1"/>
    <n v="33"/>
    <x v="0"/>
    <n v="4"/>
  </r>
  <r>
    <x v="243"/>
    <x v="3"/>
    <n v="11"/>
    <n v="1"/>
    <n v="2025"/>
    <s v="Jan"/>
    <x v="3"/>
    <x v="1"/>
    <x v="2"/>
    <d v="1899-12-30T18:45:00"/>
    <x v="243"/>
    <x v="3"/>
    <s v="Kukatpally"/>
    <x v="0"/>
    <s v="Dairy"/>
    <x v="4"/>
    <n v="88"/>
    <n v="176"/>
    <x v="0"/>
    <x v="80"/>
    <x v="2"/>
    <n v="47"/>
    <x v="0"/>
    <n v="5"/>
  </r>
  <r>
    <x v="244"/>
    <x v="4"/>
    <n v="9"/>
    <n v="1"/>
    <n v="2025"/>
    <s v="Jan"/>
    <x v="2"/>
    <x v="0"/>
    <x v="0"/>
    <d v="1899-12-30T18:15:00"/>
    <x v="244"/>
    <x v="0"/>
    <s v="Kukatpally"/>
    <x v="3"/>
    <s v="Bakery"/>
    <x v="4"/>
    <n v="102"/>
    <n v="204"/>
    <x v="0"/>
    <x v="185"/>
    <x v="0"/>
    <n v="37"/>
    <x v="1"/>
    <n v="4"/>
  </r>
  <r>
    <x v="245"/>
    <x v="2"/>
    <n v="2"/>
    <n v="1"/>
    <n v="2025"/>
    <s v="Jan"/>
    <x v="2"/>
    <x v="0"/>
    <x v="0"/>
    <d v="1899-12-30T18:15:00"/>
    <x v="245"/>
    <x v="3"/>
    <s v="Velachery"/>
    <x v="7"/>
    <s v="Grocery"/>
    <x v="4"/>
    <n v="64"/>
    <n v="128"/>
    <x v="2"/>
    <x v="186"/>
    <x v="3"/>
    <n v="58"/>
    <x v="0"/>
    <n v="2"/>
  </r>
  <r>
    <x v="246"/>
    <x v="7"/>
    <n v="7"/>
    <n v="1"/>
    <n v="2025"/>
    <s v="Jan"/>
    <x v="5"/>
    <x v="0"/>
    <x v="1"/>
    <d v="1899-12-30T09:05:00"/>
    <x v="246"/>
    <x v="1"/>
    <s v="Gachibowli"/>
    <x v="4"/>
    <s v="Fruits"/>
    <x v="3"/>
    <n v="14"/>
    <n v="56"/>
    <x v="1"/>
    <x v="138"/>
    <x v="3"/>
    <n v="44"/>
    <x v="0"/>
    <n v="1"/>
  </r>
  <r>
    <x v="247"/>
    <x v="10"/>
    <n v="5"/>
    <n v="1"/>
    <n v="2025"/>
    <s v="Jan"/>
    <x v="6"/>
    <x v="1"/>
    <x v="2"/>
    <d v="1899-12-30T18:45:00"/>
    <x v="247"/>
    <x v="6"/>
    <s v="Hinjewadi"/>
    <x v="4"/>
    <s v="Fruits"/>
    <x v="5"/>
    <n v="85"/>
    <n v="255"/>
    <x v="1"/>
    <x v="11"/>
    <x v="1"/>
    <n v="57"/>
    <x v="0"/>
    <n v="3"/>
  </r>
  <r>
    <x v="248"/>
    <x v="6"/>
    <n v="4"/>
    <n v="1"/>
    <n v="2025"/>
    <s v="Jan"/>
    <x v="3"/>
    <x v="1"/>
    <x v="2"/>
    <d v="1899-12-30T18:45:00"/>
    <x v="248"/>
    <x v="0"/>
    <s v="Whitefield"/>
    <x v="7"/>
    <s v="Grocery"/>
    <x v="4"/>
    <n v="25"/>
    <n v="50"/>
    <x v="0"/>
    <x v="59"/>
    <x v="1"/>
    <n v="22"/>
    <x v="0"/>
    <n v="5"/>
  </r>
  <r>
    <x v="249"/>
    <x v="10"/>
    <n v="5"/>
    <n v="1"/>
    <n v="2025"/>
    <s v="Jan"/>
    <x v="6"/>
    <x v="1"/>
    <x v="0"/>
    <d v="1899-12-30T18:15:00"/>
    <x v="249"/>
    <x v="1"/>
    <s v="Kukatpally"/>
    <x v="6"/>
    <s v="Vegetables"/>
    <x v="2"/>
    <n v="14"/>
    <n v="70"/>
    <x v="1"/>
    <x v="14"/>
    <x v="0"/>
    <n v="51"/>
    <x v="0"/>
    <n v="1"/>
  </r>
  <r>
    <x v="250"/>
    <x v="6"/>
    <n v="4"/>
    <n v="1"/>
    <n v="2025"/>
    <s v="Jan"/>
    <x v="3"/>
    <x v="1"/>
    <x v="0"/>
    <d v="1899-12-30T18:15:00"/>
    <x v="250"/>
    <x v="4"/>
    <s v="Andheri"/>
    <x v="2"/>
    <s v="Dairy"/>
    <x v="5"/>
    <n v="84"/>
    <n v="252"/>
    <x v="1"/>
    <x v="168"/>
    <x v="3"/>
    <n v="36"/>
    <x v="0"/>
    <n v="0"/>
  </r>
  <r>
    <x v="251"/>
    <x v="0"/>
    <n v="8"/>
    <n v="1"/>
    <n v="2025"/>
    <s v="Jan"/>
    <x v="0"/>
    <x v="0"/>
    <x v="2"/>
    <d v="1899-12-30T18:45:00"/>
    <x v="251"/>
    <x v="3"/>
    <s v="Andheri"/>
    <x v="6"/>
    <s v="Vegetables"/>
    <x v="4"/>
    <n v="28"/>
    <n v="56"/>
    <x v="1"/>
    <x v="138"/>
    <x v="3"/>
    <n v="36"/>
    <x v="1"/>
    <n v="0"/>
  </r>
  <r>
    <x v="252"/>
    <x v="1"/>
    <n v="6"/>
    <n v="1"/>
    <n v="2025"/>
    <s v="Jan"/>
    <x v="1"/>
    <x v="0"/>
    <x v="2"/>
    <d v="1899-12-30T18:45:00"/>
    <x v="252"/>
    <x v="5"/>
    <s v="Velachery"/>
    <x v="2"/>
    <s v="Dairy"/>
    <x v="1"/>
    <n v="73"/>
    <n v="438"/>
    <x v="1"/>
    <x v="187"/>
    <x v="1"/>
    <n v="40"/>
    <x v="1"/>
    <n v="1"/>
  </r>
  <r>
    <x v="253"/>
    <x v="0"/>
    <n v="8"/>
    <n v="1"/>
    <n v="2025"/>
    <s v="Jan"/>
    <x v="0"/>
    <x v="0"/>
    <x v="3"/>
    <d v="1899-12-30T10:30:00"/>
    <x v="253"/>
    <x v="3"/>
    <s v="Hinjewadi"/>
    <x v="5"/>
    <s v="Dairy"/>
    <x v="5"/>
    <n v="42"/>
    <n v="126"/>
    <x v="0"/>
    <x v="188"/>
    <x v="0"/>
    <n v="38"/>
    <x v="0"/>
    <n v="0"/>
  </r>
  <r>
    <x v="254"/>
    <x v="3"/>
    <n v="11"/>
    <n v="1"/>
    <n v="2025"/>
    <s v="Jan"/>
    <x v="3"/>
    <x v="1"/>
    <x v="3"/>
    <d v="1899-12-30T10:30:00"/>
    <x v="254"/>
    <x v="1"/>
    <s v="Hinjewadi"/>
    <x v="6"/>
    <s v="Vegetables"/>
    <x v="0"/>
    <n v="99"/>
    <n v="99"/>
    <x v="2"/>
    <x v="189"/>
    <x v="3"/>
    <n v="60"/>
    <x v="1"/>
    <n v="4"/>
  </r>
  <r>
    <x v="255"/>
    <x v="0"/>
    <n v="8"/>
    <n v="1"/>
    <n v="2025"/>
    <s v="Jan"/>
    <x v="0"/>
    <x v="0"/>
    <x v="3"/>
    <d v="1899-12-30T10:30:00"/>
    <x v="255"/>
    <x v="0"/>
    <s v="Hinjewadi"/>
    <x v="0"/>
    <s v="Dairy"/>
    <x v="2"/>
    <n v="35"/>
    <n v="175"/>
    <x v="0"/>
    <x v="151"/>
    <x v="2"/>
    <n v="19"/>
    <x v="0"/>
    <n v="4"/>
  </r>
  <r>
    <x v="256"/>
    <x v="10"/>
    <n v="5"/>
    <n v="1"/>
    <n v="2025"/>
    <s v="Jan"/>
    <x v="6"/>
    <x v="1"/>
    <x v="2"/>
    <d v="1899-12-30T18:45:00"/>
    <x v="256"/>
    <x v="6"/>
    <s v="Rohini"/>
    <x v="2"/>
    <s v="Dairy"/>
    <x v="5"/>
    <n v="41"/>
    <n v="123"/>
    <x v="1"/>
    <x v="186"/>
    <x v="1"/>
    <n v="38"/>
    <x v="1"/>
    <n v="2"/>
  </r>
  <r>
    <x v="257"/>
    <x v="1"/>
    <n v="6"/>
    <n v="1"/>
    <n v="2025"/>
    <s v="Jan"/>
    <x v="1"/>
    <x v="0"/>
    <x v="3"/>
    <d v="1899-12-30T10:30:00"/>
    <x v="257"/>
    <x v="4"/>
    <s v="Gachibowli"/>
    <x v="8"/>
    <s v="Snacks"/>
    <x v="3"/>
    <n v="50"/>
    <n v="200"/>
    <x v="1"/>
    <x v="190"/>
    <x v="3"/>
    <n v="44"/>
    <x v="0"/>
    <n v="1"/>
  </r>
  <r>
    <x v="258"/>
    <x v="0"/>
    <n v="8"/>
    <n v="1"/>
    <n v="2025"/>
    <s v="Jan"/>
    <x v="0"/>
    <x v="0"/>
    <x v="3"/>
    <d v="1899-12-30T10:30:00"/>
    <x v="258"/>
    <x v="5"/>
    <s v="Whitefield"/>
    <x v="0"/>
    <s v="Dairy"/>
    <x v="0"/>
    <n v="62"/>
    <n v="62"/>
    <x v="0"/>
    <x v="6"/>
    <x v="1"/>
    <n v="47"/>
    <x v="1"/>
    <n v="3"/>
  </r>
  <r>
    <x v="259"/>
    <x v="8"/>
    <n v="3"/>
    <n v="1"/>
    <n v="2025"/>
    <s v="Jan"/>
    <x v="4"/>
    <x v="0"/>
    <x v="2"/>
    <d v="1899-12-30T18:45:00"/>
    <x v="259"/>
    <x v="3"/>
    <s v="Velachery"/>
    <x v="0"/>
    <s v="Dairy"/>
    <x v="1"/>
    <n v="63"/>
    <n v="378"/>
    <x v="0"/>
    <x v="191"/>
    <x v="3"/>
    <n v="44"/>
    <x v="0"/>
    <n v="1"/>
  </r>
  <r>
    <x v="260"/>
    <x v="5"/>
    <n v="10"/>
    <n v="1"/>
    <n v="2025"/>
    <s v="Jan"/>
    <x v="4"/>
    <x v="0"/>
    <x v="1"/>
    <d v="1899-12-30T09:05:00"/>
    <x v="260"/>
    <x v="0"/>
    <s v="Dwarka"/>
    <x v="5"/>
    <s v="Dairy"/>
    <x v="3"/>
    <n v="114"/>
    <n v="456"/>
    <x v="1"/>
    <x v="105"/>
    <x v="2"/>
    <n v="22"/>
    <x v="1"/>
    <n v="2"/>
  </r>
  <r>
    <x v="261"/>
    <x v="9"/>
    <n v="1"/>
    <n v="1"/>
    <n v="2025"/>
    <s v="Jan"/>
    <x v="0"/>
    <x v="0"/>
    <x v="1"/>
    <d v="1899-12-30T09:05:00"/>
    <x v="261"/>
    <x v="6"/>
    <s v="Dwarka"/>
    <x v="2"/>
    <s v="Dairy"/>
    <x v="4"/>
    <n v="99"/>
    <n v="198"/>
    <x v="0"/>
    <x v="166"/>
    <x v="2"/>
    <n v="44"/>
    <x v="0"/>
    <n v="5"/>
  </r>
  <r>
    <x v="262"/>
    <x v="9"/>
    <n v="1"/>
    <n v="1"/>
    <n v="2025"/>
    <s v="Jan"/>
    <x v="0"/>
    <x v="0"/>
    <x v="2"/>
    <d v="1899-12-30T18:45:00"/>
    <x v="262"/>
    <x v="4"/>
    <s v="Hinjewadi"/>
    <x v="0"/>
    <s v="Dairy"/>
    <x v="1"/>
    <n v="91"/>
    <n v="546"/>
    <x v="2"/>
    <x v="192"/>
    <x v="1"/>
    <n v="44"/>
    <x v="1"/>
    <n v="5"/>
  </r>
  <r>
    <x v="263"/>
    <x v="5"/>
    <n v="10"/>
    <n v="1"/>
    <n v="2025"/>
    <s v="Jan"/>
    <x v="4"/>
    <x v="0"/>
    <x v="0"/>
    <d v="1899-12-30T18:15:00"/>
    <x v="263"/>
    <x v="1"/>
    <s v="Hinjewadi"/>
    <x v="1"/>
    <s v="Fruits"/>
    <x v="3"/>
    <n v="38"/>
    <n v="152"/>
    <x v="1"/>
    <x v="178"/>
    <x v="1"/>
    <n v="16"/>
    <x v="0"/>
    <n v="4"/>
  </r>
  <r>
    <x v="264"/>
    <x v="3"/>
    <n v="11"/>
    <n v="1"/>
    <n v="2025"/>
    <s v="Jan"/>
    <x v="3"/>
    <x v="1"/>
    <x v="0"/>
    <d v="1899-12-30T18:15:00"/>
    <x v="264"/>
    <x v="0"/>
    <s v="Dwarka"/>
    <x v="7"/>
    <s v="Grocery"/>
    <x v="4"/>
    <n v="30"/>
    <n v="60"/>
    <x v="2"/>
    <x v="115"/>
    <x v="2"/>
    <n v="15"/>
    <x v="0"/>
    <n v="4"/>
  </r>
  <r>
    <x v="265"/>
    <x v="1"/>
    <n v="6"/>
    <n v="1"/>
    <n v="2025"/>
    <s v="Jan"/>
    <x v="1"/>
    <x v="0"/>
    <x v="3"/>
    <d v="1899-12-30T10:30:00"/>
    <x v="265"/>
    <x v="3"/>
    <s v="Gachibowli"/>
    <x v="1"/>
    <s v="Fruits"/>
    <x v="4"/>
    <n v="70"/>
    <n v="140"/>
    <x v="1"/>
    <x v="193"/>
    <x v="0"/>
    <n v="38"/>
    <x v="0"/>
    <n v="4"/>
  </r>
  <r>
    <x v="266"/>
    <x v="7"/>
    <n v="7"/>
    <n v="1"/>
    <n v="2025"/>
    <s v="Jan"/>
    <x v="5"/>
    <x v="0"/>
    <x v="0"/>
    <d v="1899-12-30T18:15:00"/>
    <x v="266"/>
    <x v="6"/>
    <s v="Rohini"/>
    <x v="1"/>
    <s v="Fruits"/>
    <x v="1"/>
    <n v="20"/>
    <n v="120"/>
    <x v="1"/>
    <x v="69"/>
    <x v="1"/>
    <n v="59"/>
    <x v="0"/>
    <n v="3"/>
  </r>
  <r>
    <x v="267"/>
    <x v="5"/>
    <n v="10"/>
    <n v="1"/>
    <n v="2025"/>
    <s v="Jan"/>
    <x v="4"/>
    <x v="0"/>
    <x v="1"/>
    <d v="1899-12-30T09:05:00"/>
    <x v="267"/>
    <x v="1"/>
    <s v="Kukatpally"/>
    <x v="2"/>
    <s v="Dairy"/>
    <x v="0"/>
    <n v="27"/>
    <n v="27"/>
    <x v="2"/>
    <x v="44"/>
    <x v="1"/>
    <n v="24"/>
    <x v="0"/>
    <n v="5"/>
  </r>
  <r>
    <x v="268"/>
    <x v="2"/>
    <n v="2"/>
    <n v="1"/>
    <n v="2025"/>
    <s v="Jan"/>
    <x v="2"/>
    <x v="0"/>
    <x v="0"/>
    <d v="1899-12-30T18:15:00"/>
    <x v="268"/>
    <x v="3"/>
    <s v="Dwarka"/>
    <x v="3"/>
    <s v="Bakery"/>
    <x v="5"/>
    <n v="78"/>
    <n v="234"/>
    <x v="1"/>
    <x v="70"/>
    <x v="3"/>
    <n v="38"/>
    <x v="1"/>
    <n v="1"/>
  </r>
  <r>
    <x v="269"/>
    <x v="6"/>
    <n v="4"/>
    <n v="1"/>
    <n v="2025"/>
    <s v="Jan"/>
    <x v="3"/>
    <x v="1"/>
    <x v="3"/>
    <d v="1899-12-30T10:30:00"/>
    <x v="269"/>
    <x v="6"/>
    <s v="Velachery"/>
    <x v="4"/>
    <s v="Fruits"/>
    <x v="4"/>
    <n v="94"/>
    <n v="188"/>
    <x v="1"/>
    <x v="166"/>
    <x v="1"/>
    <n v="42"/>
    <x v="0"/>
    <n v="3"/>
  </r>
  <r>
    <x v="270"/>
    <x v="6"/>
    <n v="4"/>
    <n v="1"/>
    <n v="2025"/>
    <s v="Jan"/>
    <x v="3"/>
    <x v="1"/>
    <x v="1"/>
    <d v="1899-12-30T09:05:00"/>
    <x v="270"/>
    <x v="2"/>
    <s v="Gachibowli"/>
    <x v="8"/>
    <s v="Snacks"/>
    <x v="5"/>
    <n v="18"/>
    <n v="54"/>
    <x v="1"/>
    <x v="157"/>
    <x v="2"/>
    <n v="29"/>
    <x v="0"/>
    <n v="2"/>
  </r>
  <r>
    <x v="271"/>
    <x v="5"/>
    <n v="10"/>
    <n v="1"/>
    <n v="2025"/>
    <s v="Jan"/>
    <x v="4"/>
    <x v="0"/>
    <x v="0"/>
    <d v="1899-12-30T18:15:00"/>
    <x v="271"/>
    <x v="0"/>
    <s v="Dwarka"/>
    <x v="7"/>
    <s v="Grocery"/>
    <x v="5"/>
    <n v="101"/>
    <n v="303"/>
    <x v="0"/>
    <x v="194"/>
    <x v="1"/>
    <n v="47"/>
    <x v="0"/>
    <n v="2"/>
  </r>
  <r>
    <x v="272"/>
    <x v="4"/>
    <n v="9"/>
    <n v="1"/>
    <n v="2025"/>
    <s v="Jan"/>
    <x v="2"/>
    <x v="0"/>
    <x v="0"/>
    <d v="1899-12-30T18:15:00"/>
    <x v="272"/>
    <x v="1"/>
    <s v="Kukatpally"/>
    <x v="6"/>
    <s v="Vegetables"/>
    <x v="3"/>
    <n v="24"/>
    <n v="96"/>
    <x v="1"/>
    <x v="84"/>
    <x v="1"/>
    <n v="33"/>
    <x v="1"/>
    <n v="4"/>
  </r>
  <r>
    <x v="273"/>
    <x v="8"/>
    <n v="3"/>
    <n v="1"/>
    <n v="2025"/>
    <s v="Jan"/>
    <x v="4"/>
    <x v="0"/>
    <x v="0"/>
    <d v="1899-12-30T18:15:00"/>
    <x v="273"/>
    <x v="6"/>
    <s v="Whitefield"/>
    <x v="0"/>
    <s v="Dairy"/>
    <x v="2"/>
    <n v="86"/>
    <n v="440"/>
    <x v="2"/>
    <x v="195"/>
    <x v="2"/>
    <n v="58"/>
    <x v="1"/>
    <n v="3"/>
  </r>
  <r>
    <x v="274"/>
    <x v="8"/>
    <n v="3"/>
    <n v="1"/>
    <n v="2025"/>
    <s v="Jan"/>
    <x v="4"/>
    <x v="0"/>
    <x v="3"/>
    <d v="1899-12-30T10:30:00"/>
    <x v="274"/>
    <x v="0"/>
    <s v="Gachibowli"/>
    <x v="6"/>
    <s v="Vegetables"/>
    <x v="1"/>
    <n v="33"/>
    <n v="198"/>
    <x v="2"/>
    <x v="196"/>
    <x v="1"/>
    <n v="28"/>
    <x v="0"/>
    <n v="5"/>
  </r>
  <r>
    <x v="275"/>
    <x v="10"/>
    <n v="5"/>
    <n v="1"/>
    <n v="2025"/>
    <s v="Jan"/>
    <x v="6"/>
    <x v="1"/>
    <x v="0"/>
    <d v="1899-12-30T18:15:00"/>
    <x v="275"/>
    <x v="2"/>
    <s v="Andheri"/>
    <x v="1"/>
    <s v="Fruits"/>
    <x v="1"/>
    <n v="11"/>
    <n v="66"/>
    <x v="1"/>
    <x v="183"/>
    <x v="3"/>
    <n v="38"/>
    <x v="0"/>
    <n v="0"/>
  </r>
  <r>
    <x v="276"/>
    <x v="7"/>
    <n v="7"/>
    <n v="1"/>
    <n v="2025"/>
    <s v="Jan"/>
    <x v="5"/>
    <x v="0"/>
    <x v="2"/>
    <d v="1899-12-30T18:45:00"/>
    <x v="276"/>
    <x v="3"/>
    <s v="Whitefield"/>
    <x v="2"/>
    <s v="Dairy"/>
    <x v="2"/>
    <n v="46"/>
    <n v="230"/>
    <x v="1"/>
    <x v="143"/>
    <x v="0"/>
    <n v="51"/>
    <x v="0"/>
    <n v="0"/>
  </r>
  <r>
    <x v="277"/>
    <x v="5"/>
    <n v="10"/>
    <n v="1"/>
    <n v="2025"/>
    <s v="Jan"/>
    <x v="4"/>
    <x v="0"/>
    <x v="2"/>
    <d v="1899-12-30T18:45:00"/>
    <x v="277"/>
    <x v="6"/>
    <s v="Gachibowli"/>
    <x v="5"/>
    <s v="Dairy"/>
    <x v="3"/>
    <n v="102"/>
    <n v="408"/>
    <x v="1"/>
    <x v="197"/>
    <x v="1"/>
    <n v="43"/>
    <x v="0"/>
    <n v="2"/>
  </r>
  <r>
    <x v="278"/>
    <x v="1"/>
    <n v="6"/>
    <n v="1"/>
    <n v="2025"/>
    <s v="Jan"/>
    <x v="1"/>
    <x v="0"/>
    <x v="0"/>
    <d v="1899-12-30T18:15:00"/>
    <x v="278"/>
    <x v="6"/>
    <s v="Whitefield"/>
    <x v="7"/>
    <s v="Grocery"/>
    <x v="4"/>
    <n v="63"/>
    <n v="126"/>
    <x v="1"/>
    <x v="174"/>
    <x v="0"/>
    <n v="14"/>
    <x v="0"/>
    <n v="5"/>
  </r>
  <r>
    <x v="279"/>
    <x v="9"/>
    <n v="1"/>
    <n v="1"/>
    <n v="2025"/>
    <s v="Jan"/>
    <x v="0"/>
    <x v="0"/>
    <x v="0"/>
    <d v="1899-12-30T18:15:00"/>
    <x v="279"/>
    <x v="2"/>
    <s v="Gachibowli"/>
    <x v="1"/>
    <s v="Fruits"/>
    <x v="1"/>
    <n v="14"/>
    <n v="84"/>
    <x v="1"/>
    <x v="198"/>
    <x v="1"/>
    <n v="28"/>
    <x v="0"/>
    <n v="2"/>
  </r>
  <r>
    <x v="280"/>
    <x v="3"/>
    <n v="11"/>
    <n v="1"/>
    <n v="2025"/>
    <s v="Jan"/>
    <x v="3"/>
    <x v="1"/>
    <x v="0"/>
    <d v="1899-12-30T18:15:00"/>
    <x v="280"/>
    <x v="0"/>
    <s v="Kukatpally"/>
    <x v="5"/>
    <s v="Dairy"/>
    <x v="0"/>
    <n v="33"/>
    <n v="33"/>
    <x v="1"/>
    <x v="199"/>
    <x v="1"/>
    <n v="37"/>
    <x v="0"/>
    <n v="3"/>
  </r>
  <r>
    <x v="281"/>
    <x v="0"/>
    <n v="8"/>
    <n v="1"/>
    <n v="2025"/>
    <s v="Jan"/>
    <x v="0"/>
    <x v="0"/>
    <x v="3"/>
    <d v="1899-12-30T10:30:00"/>
    <x v="281"/>
    <x v="0"/>
    <s v="Gachibowli"/>
    <x v="0"/>
    <s v="Dairy"/>
    <x v="5"/>
    <n v="95"/>
    <n v="285"/>
    <x v="0"/>
    <x v="51"/>
    <x v="1"/>
    <n v="21"/>
    <x v="1"/>
    <n v="3"/>
  </r>
  <r>
    <x v="282"/>
    <x v="9"/>
    <n v="1"/>
    <n v="1"/>
    <n v="2025"/>
    <s v="Jan"/>
    <x v="0"/>
    <x v="0"/>
    <x v="2"/>
    <d v="1899-12-30T18:45:00"/>
    <x v="282"/>
    <x v="2"/>
    <s v="Whitefield"/>
    <x v="0"/>
    <s v="Dairy"/>
    <x v="3"/>
    <n v="14"/>
    <n v="66"/>
    <x v="1"/>
    <x v="138"/>
    <x v="1"/>
    <n v="35"/>
    <x v="0"/>
    <n v="4"/>
  </r>
  <r>
    <x v="283"/>
    <x v="5"/>
    <n v="10"/>
    <n v="1"/>
    <n v="2025"/>
    <s v="Jan"/>
    <x v="4"/>
    <x v="0"/>
    <x v="0"/>
    <d v="1899-12-30T18:15:00"/>
    <x v="283"/>
    <x v="6"/>
    <s v="Whitefield"/>
    <x v="6"/>
    <s v="Vegetables"/>
    <x v="0"/>
    <n v="82"/>
    <n v="82"/>
    <x v="2"/>
    <x v="58"/>
    <x v="1"/>
    <n v="18"/>
    <x v="0"/>
    <n v="3"/>
  </r>
  <r>
    <x v="284"/>
    <x v="10"/>
    <n v="5"/>
    <n v="1"/>
    <n v="2025"/>
    <s v="Jan"/>
    <x v="6"/>
    <x v="1"/>
    <x v="3"/>
    <d v="1899-12-30T10:30:00"/>
    <x v="284"/>
    <x v="3"/>
    <s v="Andheri"/>
    <x v="0"/>
    <s v="Dairy"/>
    <x v="0"/>
    <n v="49"/>
    <n v="49"/>
    <x v="1"/>
    <x v="200"/>
    <x v="3"/>
    <n v="38"/>
    <x v="1"/>
    <n v="2"/>
  </r>
  <r>
    <x v="285"/>
    <x v="10"/>
    <n v="5"/>
    <n v="1"/>
    <n v="2025"/>
    <s v="Jan"/>
    <x v="6"/>
    <x v="1"/>
    <x v="2"/>
    <d v="1899-12-30T18:45:00"/>
    <x v="285"/>
    <x v="5"/>
    <s v="Gachibowli"/>
    <x v="4"/>
    <s v="Fruits"/>
    <x v="4"/>
    <n v="56"/>
    <n v="112"/>
    <x v="2"/>
    <x v="201"/>
    <x v="3"/>
    <n v="39"/>
    <x v="1"/>
    <n v="3"/>
  </r>
  <r>
    <x v="286"/>
    <x v="10"/>
    <n v="5"/>
    <n v="1"/>
    <n v="2025"/>
    <s v="Jan"/>
    <x v="6"/>
    <x v="1"/>
    <x v="0"/>
    <d v="1899-12-30T18:15:00"/>
    <x v="286"/>
    <x v="4"/>
    <s v="Hinjewadi"/>
    <x v="1"/>
    <s v="Fruits"/>
    <x v="4"/>
    <n v="68"/>
    <n v="136"/>
    <x v="1"/>
    <x v="202"/>
    <x v="2"/>
    <n v="23"/>
    <x v="0"/>
    <n v="1"/>
  </r>
  <r>
    <x v="287"/>
    <x v="0"/>
    <n v="8"/>
    <n v="1"/>
    <n v="2025"/>
    <s v="Jan"/>
    <x v="0"/>
    <x v="0"/>
    <x v="2"/>
    <d v="1899-12-30T18:45:00"/>
    <x v="287"/>
    <x v="4"/>
    <s v="Velachery"/>
    <x v="0"/>
    <s v="Dairy"/>
    <x v="3"/>
    <n v="79"/>
    <n v="316"/>
    <x v="1"/>
    <x v="142"/>
    <x v="3"/>
    <n v="29"/>
    <x v="1"/>
    <n v="3"/>
  </r>
  <r>
    <x v="288"/>
    <x v="0"/>
    <n v="8"/>
    <n v="1"/>
    <n v="2025"/>
    <s v="Jan"/>
    <x v="0"/>
    <x v="0"/>
    <x v="1"/>
    <d v="1899-12-30T09:05:00"/>
    <x v="288"/>
    <x v="1"/>
    <s v="Hinjewadi"/>
    <x v="8"/>
    <s v="Snacks"/>
    <x v="4"/>
    <n v="33"/>
    <n v="66"/>
    <x v="1"/>
    <x v="183"/>
    <x v="2"/>
    <n v="11"/>
    <x v="0"/>
    <n v="3"/>
  </r>
  <r>
    <x v="289"/>
    <x v="2"/>
    <n v="2"/>
    <n v="1"/>
    <n v="2025"/>
    <s v="Jan"/>
    <x v="2"/>
    <x v="0"/>
    <x v="3"/>
    <d v="1899-12-30T10:30:00"/>
    <x v="289"/>
    <x v="1"/>
    <s v="Hinjewadi"/>
    <x v="3"/>
    <s v="Bakery"/>
    <x v="4"/>
    <n v="31"/>
    <n v="62"/>
    <x v="2"/>
    <x v="203"/>
    <x v="1"/>
    <n v="54"/>
    <x v="0"/>
    <n v="4"/>
  </r>
  <r>
    <x v="290"/>
    <x v="7"/>
    <n v="7"/>
    <n v="1"/>
    <n v="2025"/>
    <s v="Jan"/>
    <x v="5"/>
    <x v="0"/>
    <x v="3"/>
    <d v="1899-12-30T10:30:00"/>
    <x v="290"/>
    <x v="6"/>
    <s v="Velachery"/>
    <x v="7"/>
    <s v="Grocery"/>
    <x v="2"/>
    <n v="31"/>
    <n v="155"/>
    <x v="1"/>
    <x v="204"/>
    <x v="0"/>
    <n v="29"/>
    <x v="0"/>
    <n v="4"/>
  </r>
  <r>
    <x v="291"/>
    <x v="7"/>
    <n v="7"/>
    <n v="1"/>
    <n v="2025"/>
    <s v="Jan"/>
    <x v="5"/>
    <x v="0"/>
    <x v="3"/>
    <d v="1899-12-30T10:30:00"/>
    <x v="291"/>
    <x v="1"/>
    <s v="Dwarka"/>
    <x v="4"/>
    <s v="Fruits"/>
    <x v="2"/>
    <n v="31"/>
    <n v="155"/>
    <x v="2"/>
    <x v="71"/>
    <x v="2"/>
    <n v="14"/>
    <x v="0"/>
    <n v="0"/>
  </r>
  <r>
    <x v="292"/>
    <x v="0"/>
    <n v="8"/>
    <n v="1"/>
    <n v="2025"/>
    <s v="Jan"/>
    <x v="0"/>
    <x v="0"/>
    <x v="1"/>
    <d v="1899-12-30T09:05:00"/>
    <x v="292"/>
    <x v="2"/>
    <s v="Hinjewadi"/>
    <x v="2"/>
    <s v="Dairy"/>
    <x v="4"/>
    <n v="11"/>
    <n v="22"/>
    <x v="0"/>
    <x v="205"/>
    <x v="2"/>
    <n v="59"/>
    <x v="0"/>
    <n v="1"/>
  </r>
  <r>
    <x v="293"/>
    <x v="10"/>
    <n v="5"/>
    <n v="1"/>
    <n v="2025"/>
    <s v="Jan"/>
    <x v="6"/>
    <x v="1"/>
    <x v="1"/>
    <d v="1899-12-30T09:05:00"/>
    <x v="293"/>
    <x v="1"/>
    <s v="Hinjewadi"/>
    <x v="5"/>
    <s v="Dairy"/>
    <x v="1"/>
    <n v="16"/>
    <n v="96"/>
    <x v="0"/>
    <x v="206"/>
    <x v="1"/>
    <n v="59"/>
    <x v="1"/>
    <n v="2"/>
  </r>
  <r>
    <x v="294"/>
    <x v="10"/>
    <n v="5"/>
    <n v="1"/>
    <n v="2025"/>
    <s v="Jan"/>
    <x v="6"/>
    <x v="1"/>
    <x v="3"/>
    <d v="1899-12-30T10:30:00"/>
    <x v="294"/>
    <x v="1"/>
    <s v="Gachibowli"/>
    <x v="7"/>
    <s v="Grocery"/>
    <x v="3"/>
    <n v="46"/>
    <n v="184"/>
    <x v="0"/>
    <x v="207"/>
    <x v="1"/>
    <n v="21"/>
    <x v="0"/>
    <n v="5"/>
  </r>
  <r>
    <x v="295"/>
    <x v="3"/>
    <n v="11"/>
    <n v="1"/>
    <n v="2025"/>
    <s v="Jan"/>
    <x v="3"/>
    <x v="1"/>
    <x v="3"/>
    <d v="1899-12-30T10:30:00"/>
    <x v="295"/>
    <x v="0"/>
    <s v="Andheri"/>
    <x v="8"/>
    <s v="Snacks"/>
    <x v="5"/>
    <n v="92"/>
    <n v="276"/>
    <x v="2"/>
    <x v="208"/>
    <x v="2"/>
    <n v="44"/>
    <x v="0"/>
    <n v="4"/>
  </r>
  <r>
    <x v="296"/>
    <x v="2"/>
    <n v="2"/>
    <n v="1"/>
    <n v="2025"/>
    <s v="Jan"/>
    <x v="2"/>
    <x v="0"/>
    <x v="0"/>
    <d v="1899-12-30T18:15:00"/>
    <x v="296"/>
    <x v="3"/>
    <s v="Dwarka"/>
    <x v="1"/>
    <s v="Fruits"/>
    <x v="3"/>
    <n v="104"/>
    <n v="416"/>
    <x v="1"/>
    <x v="209"/>
    <x v="1"/>
    <n v="37"/>
    <x v="0"/>
    <n v="2"/>
  </r>
  <r>
    <x v="297"/>
    <x v="3"/>
    <n v="11"/>
    <n v="1"/>
    <n v="2025"/>
    <s v="Jan"/>
    <x v="3"/>
    <x v="1"/>
    <x v="3"/>
    <d v="1899-12-30T10:30:00"/>
    <x v="297"/>
    <x v="4"/>
    <s v="Hinjewadi"/>
    <x v="0"/>
    <s v="Dairy"/>
    <x v="1"/>
    <n v="75"/>
    <n v="450"/>
    <x v="1"/>
    <x v="81"/>
    <x v="2"/>
    <n v="13"/>
    <x v="1"/>
    <n v="4"/>
  </r>
  <r>
    <x v="298"/>
    <x v="9"/>
    <n v="1"/>
    <n v="1"/>
    <n v="2025"/>
    <s v="Jan"/>
    <x v="0"/>
    <x v="0"/>
    <x v="1"/>
    <d v="1899-12-30T09:05:00"/>
    <x v="298"/>
    <x v="3"/>
    <s v="Dwarka"/>
    <x v="5"/>
    <s v="Dairy"/>
    <x v="0"/>
    <n v="113"/>
    <n v="113"/>
    <x v="2"/>
    <x v="210"/>
    <x v="1"/>
    <n v="46"/>
    <x v="0"/>
    <n v="4"/>
  </r>
  <r>
    <x v="299"/>
    <x v="9"/>
    <n v="1"/>
    <n v="1"/>
    <n v="2025"/>
    <s v="Jan"/>
    <x v="0"/>
    <x v="0"/>
    <x v="1"/>
    <d v="1899-12-30T09:05:00"/>
    <x v="299"/>
    <x v="4"/>
    <s v="Kukatpally"/>
    <x v="3"/>
    <s v="Bakery"/>
    <x v="1"/>
    <n v="80"/>
    <n v="480"/>
    <x v="1"/>
    <x v="8"/>
    <x v="3"/>
    <n v="34"/>
    <x v="0"/>
    <n v="5"/>
  </r>
  <r>
    <x v="300"/>
    <x v="4"/>
    <n v="9"/>
    <n v="1"/>
    <n v="2025"/>
    <s v="Jan"/>
    <x v="2"/>
    <x v="0"/>
    <x v="2"/>
    <d v="1899-12-30T18:45:00"/>
    <x v="300"/>
    <x v="4"/>
    <s v="Rohini"/>
    <x v="4"/>
    <s v="Fruits"/>
    <x v="3"/>
    <n v="108"/>
    <n v="432"/>
    <x v="1"/>
    <x v="211"/>
    <x v="1"/>
    <n v="29"/>
    <x v="0"/>
    <n v="0"/>
  </r>
  <r>
    <x v="301"/>
    <x v="7"/>
    <n v="7"/>
    <n v="1"/>
    <n v="2025"/>
    <s v="Jan"/>
    <x v="5"/>
    <x v="0"/>
    <x v="0"/>
    <d v="1899-12-30T18:15:00"/>
    <x v="301"/>
    <x v="1"/>
    <s v="Rohini"/>
    <x v="7"/>
    <s v="Grocery"/>
    <x v="5"/>
    <n v="21"/>
    <n v="63"/>
    <x v="1"/>
    <x v="39"/>
    <x v="2"/>
    <n v="44"/>
    <x v="0"/>
    <n v="5"/>
  </r>
  <r>
    <x v="302"/>
    <x v="9"/>
    <n v="1"/>
    <n v="1"/>
    <n v="2025"/>
    <s v="Jan"/>
    <x v="0"/>
    <x v="0"/>
    <x v="0"/>
    <d v="1899-12-30T18:15:00"/>
    <x v="302"/>
    <x v="0"/>
    <s v="Whitefield"/>
    <x v="7"/>
    <s v="Grocery"/>
    <x v="4"/>
    <n v="59"/>
    <n v="118"/>
    <x v="0"/>
    <x v="210"/>
    <x v="1"/>
    <n v="13"/>
    <x v="0"/>
    <n v="4"/>
  </r>
  <r>
    <x v="303"/>
    <x v="9"/>
    <n v="1"/>
    <n v="1"/>
    <n v="2025"/>
    <s v="Jan"/>
    <x v="0"/>
    <x v="0"/>
    <x v="2"/>
    <d v="1899-12-30T18:45:00"/>
    <x v="303"/>
    <x v="0"/>
    <s v="Whitefield"/>
    <x v="1"/>
    <s v="Fruits"/>
    <x v="4"/>
    <n v="28"/>
    <n v="56"/>
    <x v="1"/>
    <x v="138"/>
    <x v="3"/>
    <n v="14"/>
    <x v="0"/>
    <n v="3"/>
  </r>
  <r>
    <x v="304"/>
    <x v="7"/>
    <n v="7"/>
    <n v="1"/>
    <n v="2025"/>
    <s v="Jan"/>
    <x v="5"/>
    <x v="0"/>
    <x v="3"/>
    <d v="1899-12-30T10:30:00"/>
    <x v="304"/>
    <x v="5"/>
    <s v="Whitefield"/>
    <x v="8"/>
    <s v="Snacks"/>
    <x v="0"/>
    <n v="71"/>
    <n v="71"/>
    <x v="1"/>
    <x v="124"/>
    <x v="1"/>
    <n v="24"/>
    <x v="1"/>
    <n v="0"/>
  </r>
  <r>
    <x v="305"/>
    <x v="10"/>
    <n v="5"/>
    <n v="1"/>
    <n v="2025"/>
    <s v="Jan"/>
    <x v="6"/>
    <x v="1"/>
    <x v="1"/>
    <d v="1899-12-30T09:05:00"/>
    <x v="305"/>
    <x v="3"/>
    <s v="Hinjewadi"/>
    <x v="1"/>
    <s v="Fruits"/>
    <x v="2"/>
    <n v="28"/>
    <n v="140"/>
    <x v="1"/>
    <x v="193"/>
    <x v="0"/>
    <n v="21"/>
    <x v="1"/>
    <n v="0"/>
  </r>
  <r>
    <x v="306"/>
    <x v="7"/>
    <n v="7"/>
    <n v="1"/>
    <n v="2025"/>
    <s v="Jan"/>
    <x v="5"/>
    <x v="0"/>
    <x v="2"/>
    <d v="1899-12-30T18:45:00"/>
    <x v="306"/>
    <x v="3"/>
    <s v="Hinjewadi"/>
    <x v="8"/>
    <s v="Snacks"/>
    <x v="3"/>
    <n v="55"/>
    <n v="220"/>
    <x v="1"/>
    <x v="212"/>
    <x v="1"/>
    <n v="49"/>
    <x v="0"/>
    <n v="3"/>
  </r>
  <r>
    <x v="307"/>
    <x v="4"/>
    <n v="9"/>
    <n v="1"/>
    <n v="2025"/>
    <s v="Jan"/>
    <x v="2"/>
    <x v="0"/>
    <x v="2"/>
    <d v="1899-12-30T18:45:00"/>
    <x v="307"/>
    <x v="1"/>
    <s v="Dwarka"/>
    <x v="2"/>
    <s v="Dairy"/>
    <x v="0"/>
    <n v="27"/>
    <n v="27"/>
    <x v="2"/>
    <x v="44"/>
    <x v="3"/>
    <n v="58"/>
    <x v="0"/>
    <n v="1"/>
  </r>
  <r>
    <x v="308"/>
    <x v="1"/>
    <n v="6"/>
    <n v="1"/>
    <n v="2025"/>
    <s v="Jan"/>
    <x v="1"/>
    <x v="0"/>
    <x v="3"/>
    <d v="1899-12-30T10:30:00"/>
    <x v="308"/>
    <x v="1"/>
    <s v="Kukatpally"/>
    <x v="5"/>
    <s v="Dairy"/>
    <x v="4"/>
    <n v="31"/>
    <n v="62"/>
    <x v="0"/>
    <x v="6"/>
    <x v="1"/>
    <n v="57"/>
    <x v="1"/>
    <n v="5"/>
  </r>
  <r>
    <x v="309"/>
    <x v="9"/>
    <n v="1"/>
    <n v="1"/>
    <n v="2025"/>
    <s v="Jan"/>
    <x v="0"/>
    <x v="0"/>
    <x v="1"/>
    <d v="1899-12-30T09:05:00"/>
    <x v="309"/>
    <x v="0"/>
    <s v="Gachibowli"/>
    <x v="3"/>
    <s v="Bakery"/>
    <x v="4"/>
    <n v="14"/>
    <n v="28"/>
    <x v="0"/>
    <x v="213"/>
    <x v="1"/>
    <n v="28"/>
    <x v="0"/>
    <n v="0"/>
  </r>
  <r>
    <x v="310"/>
    <x v="9"/>
    <n v="1"/>
    <n v="1"/>
    <n v="2025"/>
    <s v="Jan"/>
    <x v="0"/>
    <x v="0"/>
    <x v="1"/>
    <d v="1899-12-30T09:05:00"/>
    <x v="310"/>
    <x v="5"/>
    <s v="Dwarka"/>
    <x v="5"/>
    <s v="Dairy"/>
    <x v="4"/>
    <n v="100"/>
    <n v="200"/>
    <x v="1"/>
    <x v="190"/>
    <x v="2"/>
    <n v="20"/>
    <x v="0"/>
    <n v="4"/>
  </r>
  <r>
    <x v="311"/>
    <x v="10"/>
    <n v="5"/>
    <n v="1"/>
    <n v="2025"/>
    <s v="Jan"/>
    <x v="6"/>
    <x v="1"/>
    <x v="1"/>
    <d v="1899-12-30T09:05:00"/>
    <x v="311"/>
    <x v="1"/>
    <s v="Gachibowli"/>
    <x v="1"/>
    <s v="Fruits"/>
    <x v="3"/>
    <n v="45"/>
    <n v="180"/>
    <x v="1"/>
    <x v="30"/>
    <x v="1"/>
    <n v="10"/>
    <x v="1"/>
    <n v="5"/>
  </r>
  <r>
    <x v="312"/>
    <x v="0"/>
    <n v="8"/>
    <n v="1"/>
    <n v="2025"/>
    <s v="Jan"/>
    <x v="0"/>
    <x v="0"/>
    <x v="3"/>
    <d v="1899-12-30T10:30:00"/>
    <x v="312"/>
    <x v="5"/>
    <s v="Kukatpally"/>
    <x v="5"/>
    <s v="Dairy"/>
    <x v="3"/>
    <n v="82"/>
    <n v="328"/>
    <x v="1"/>
    <x v="214"/>
    <x v="1"/>
    <n v="26"/>
    <x v="0"/>
    <n v="2"/>
  </r>
  <r>
    <x v="313"/>
    <x v="6"/>
    <n v="4"/>
    <n v="1"/>
    <n v="2025"/>
    <s v="Jan"/>
    <x v="3"/>
    <x v="1"/>
    <x v="1"/>
    <d v="1899-12-30T09:05:00"/>
    <x v="313"/>
    <x v="1"/>
    <s v="Rohini"/>
    <x v="6"/>
    <s v="Vegetables"/>
    <x v="1"/>
    <n v="59"/>
    <n v="354"/>
    <x v="1"/>
    <x v="215"/>
    <x v="2"/>
    <n v="38"/>
    <x v="0"/>
    <n v="0"/>
  </r>
  <r>
    <x v="314"/>
    <x v="3"/>
    <n v="11"/>
    <n v="1"/>
    <n v="2025"/>
    <s v="Jan"/>
    <x v="3"/>
    <x v="1"/>
    <x v="2"/>
    <d v="1899-12-30T18:45:00"/>
    <x v="314"/>
    <x v="0"/>
    <s v="Hinjewadi"/>
    <x v="2"/>
    <s v="Dairy"/>
    <x v="1"/>
    <n v="26"/>
    <n v="156"/>
    <x v="1"/>
    <x v="120"/>
    <x v="2"/>
    <n v="20"/>
    <x v="1"/>
    <n v="3"/>
  </r>
  <r>
    <x v="315"/>
    <x v="1"/>
    <n v="6"/>
    <n v="1"/>
    <n v="2025"/>
    <s v="Jan"/>
    <x v="1"/>
    <x v="0"/>
    <x v="0"/>
    <d v="1899-12-30T18:15:00"/>
    <x v="315"/>
    <x v="4"/>
    <s v="Whitefield"/>
    <x v="6"/>
    <s v="Vegetables"/>
    <x v="1"/>
    <n v="94"/>
    <n v="574"/>
    <x v="0"/>
    <x v="216"/>
    <x v="3"/>
    <n v="55"/>
    <x v="0"/>
    <n v="1"/>
  </r>
  <r>
    <x v="316"/>
    <x v="4"/>
    <n v="9"/>
    <n v="1"/>
    <n v="2025"/>
    <s v="Jan"/>
    <x v="2"/>
    <x v="0"/>
    <x v="1"/>
    <d v="1899-12-30T09:05:00"/>
    <x v="316"/>
    <x v="3"/>
    <s v="Velachery"/>
    <x v="0"/>
    <s v="Dairy"/>
    <x v="0"/>
    <n v="72"/>
    <n v="72"/>
    <x v="1"/>
    <x v="217"/>
    <x v="0"/>
    <n v="31"/>
    <x v="0"/>
    <n v="5"/>
  </r>
  <r>
    <x v="317"/>
    <x v="3"/>
    <n v="11"/>
    <n v="1"/>
    <n v="2025"/>
    <s v="Jan"/>
    <x v="3"/>
    <x v="1"/>
    <x v="0"/>
    <d v="1899-12-30T18:15:00"/>
    <x v="317"/>
    <x v="4"/>
    <s v="Andheri"/>
    <x v="5"/>
    <s v="Dairy"/>
    <x v="1"/>
    <n v="39"/>
    <n v="234"/>
    <x v="0"/>
    <x v="45"/>
    <x v="1"/>
    <n v="37"/>
    <x v="1"/>
    <n v="3"/>
  </r>
  <r>
    <x v="318"/>
    <x v="7"/>
    <n v="7"/>
    <n v="1"/>
    <n v="2025"/>
    <s v="Jan"/>
    <x v="5"/>
    <x v="0"/>
    <x v="3"/>
    <d v="1899-12-30T10:30:00"/>
    <x v="318"/>
    <x v="3"/>
    <s v="Hinjewadi"/>
    <x v="7"/>
    <s v="Grocery"/>
    <x v="5"/>
    <n v="102"/>
    <n v="306"/>
    <x v="2"/>
    <x v="218"/>
    <x v="1"/>
    <n v="21"/>
    <x v="0"/>
    <n v="5"/>
  </r>
  <r>
    <x v="319"/>
    <x v="5"/>
    <n v="10"/>
    <n v="1"/>
    <n v="2025"/>
    <s v="Jan"/>
    <x v="4"/>
    <x v="0"/>
    <x v="3"/>
    <d v="1899-12-30T10:30:00"/>
    <x v="319"/>
    <x v="3"/>
    <s v="Velachery"/>
    <x v="8"/>
    <s v="Snacks"/>
    <x v="3"/>
    <n v="79"/>
    <n v="316"/>
    <x v="1"/>
    <x v="142"/>
    <x v="3"/>
    <n v="55"/>
    <x v="0"/>
    <n v="0"/>
  </r>
  <r>
    <x v="320"/>
    <x v="0"/>
    <n v="8"/>
    <n v="1"/>
    <n v="2025"/>
    <s v="Jan"/>
    <x v="0"/>
    <x v="0"/>
    <x v="2"/>
    <d v="1899-12-30T18:45:00"/>
    <x v="320"/>
    <x v="3"/>
    <s v="Gachibowli"/>
    <x v="3"/>
    <s v="Bakery"/>
    <x v="5"/>
    <n v="45"/>
    <n v="135"/>
    <x v="2"/>
    <x v="219"/>
    <x v="1"/>
    <n v="23"/>
    <x v="1"/>
    <n v="3"/>
  </r>
  <r>
    <x v="321"/>
    <x v="1"/>
    <n v="6"/>
    <n v="1"/>
    <n v="2025"/>
    <s v="Jan"/>
    <x v="1"/>
    <x v="0"/>
    <x v="1"/>
    <d v="1899-12-30T09:05:00"/>
    <x v="321"/>
    <x v="1"/>
    <s v="Rohini"/>
    <x v="8"/>
    <s v="Snacks"/>
    <x v="5"/>
    <n v="35"/>
    <n v="105"/>
    <x v="2"/>
    <x v="62"/>
    <x v="3"/>
    <n v="49"/>
    <x v="0"/>
    <n v="4"/>
  </r>
  <r>
    <x v="322"/>
    <x v="5"/>
    <n v="10"/>
    <n v="1"/>
    <n v="2025"/>
    <s v="Jan"/>
    <x v="4"/>
    <x v="0"/>
    <x v="3"/>
    <d v="1899-12-30T10:30:00"/>
    <x v="322"/>
    <x v="2"/>
    <s v="Whitefield"/>
    <x v="7"/>
    <s v="Grocery"/>
    <x v="0"/>
    <n v="55"/>
    <n v="65"/>
    <x v="1"/>
    <x v="115"/>
    <x v="1"/>
    <n v="50"/>
    <x v="0"/>
    <n v="0"/>
  </r>
  <r>
    <x v="323"/>
    <x v="3"/>
    <n v="11"/>
    <n v="1"/>
    <n v="2025"/>
    <s v="Jan"/>
    <x v="3"/>
    <x v="1"/>
    <x v="1"/>
    <d v="1899-12-30T09:05:00"/>
    <x v="323"/>
    <x v="0"/>
    <s v="Whitefield"/>
    <x v="8"/>
    <s v="Snacks"/>
    <x v="0"/>
    <n v="107"/>
    <n v="107"/>
    <x v="2"/>
    <x v="220"/>
    <x v="2"/>
    <n v="50"/>
    <x v="0"/>
    <n v="0"/>
  </r>
  <r>
    <x v="324"/>
    <x v="10"/>
    <n v="5"/>
    <n v="1"/>
    <n v="2025"/>
    <s v="Jan"/>
    <x v="6"/>
    <x v="1"/>
    <x v="2"/>
    <d v="1899-12-30T18:45:00"/>
    <x v="324"/>
    <x v="6"/>
    <s v="Hinjewadi"/>
    <x v="8"/>
    <s v="Snacks"/>
    <x v="0"/>
    <n v="33"/>
    <n v="33"/>
    <x v="1"/>
    <x v="199"/>
    <x v="3"/>
    <n v="23"/>
    <x v="0"/>
    <n v="4"/>
  </r>
  <r>
    <x v="325"/>
    <x v="9"/>
    <n v="1"/>
    <n v="1"/>
    <n v="2025"/>
    <s v="Jan"/>
    <x v="0"/>
    <x v="0"/>
    <x v="0"/>
    <d v="1899-12-30T18:15:00"/>
    <x v="325"/>
    <x v="0"/>
    <s v="Whitefield"/>
    <x v="6"/>
    <s v="Vegetables"/>
    <x v="1"/>
    <n v="36"/>
    <n v="216"/>
    <x v="2"/>
    <x v="221"/>
    <x v="1"/>
    <n v="11"/>
    <x v="0"/>
    <n v="4"/>
  </r>
  <r>
    <x v="326"/>
    <x v="7"/>
    <n v="7"/>
    <n v="1"/>
    <n v="2025"/>
    <s v="Jan"/>
    <x v="5"/>
    <x v="0"/>
    <x v="3"/>
    <d v="1899-12-30T10:30:00"/>
    <x v="326"/>
    <x v="1"/>
    <s v="Andheri"/>
    <x v="3"/>
    <s v="Bakery"/>
    <x v="5"/>
    <n v="102"/>
    <n v="306"/>
    <x v="0"/>
    <x v="222"/>
    <x v="0"/>
    <n v="26"/>
    <x v="0"/>
    <n v="4"/>
  </r>
  <r>
    <x v="327"/>
    <x v="8"/>
    <n v="3"/>
    <n v="1"/>
    <n v="2025"/>
    <s v="Jan"/>
    <x v="4"/>
    <x v="0"/>
    <x v="2"/>
    <d v="1899-12-30T18:45:00"/>
    <x v="327"/>
    <x v="1"/>
    <s v="Andheri"/>
    <x v="6"/>
    <s v="Vegetables"/>
    <x v="5"/>
    <n v="104"/>
    <n v="312"/>
    <x v="0"/>
    <x v="223"/>
    <x v="1"/>
    <n v="30"/>
    <x v="1"/>
    <n v="1"/>
  </r>
  <r>
    <x v="328"/>
    <x v="1"/>
    <n v="6"/>
    <n v="1"/>
    <n v="2025"/>
    <s v="Jan"/>
    <x v="1"/>
    <x v="0"/>
    <x v="3"/>
    <d v="1899-12-30T10:30:00"/>
    <x v="328"/>
    <x v="4"/>
    <s v="Hinjewadi"/>
    <x v="4"/>
    <s v="Fruits"/>
    <x v="5"/>
    <n v="104"/>
    <n v="312"/>
    <x v="1"/>
    <x v="224"/>
    <x v="1"/>
    <n v="24"/>
    <x v="0"/>
    <n v="3"/>
  </r>
  <r>
    <x v="329"/>
    <x v="5"/>
    <n v="10"/>
    <n v="1"/>
    <n v="2025"/>
    <s v="Jan"/>
    <x v="4"/>
    <x v="0"/>
    <x v="2"/>
    <d v="1899-12-30T18:45:00"/>
    <x v="329"/>
    <x v="0"/>
    <s v="Hinjewadi"/>
    <x v="1"/>
    <s v="Fruits"/>
    <x v="1"/>
    <n v="115"/>
    <n v="690"/>
    <x v="1"/>
    <x v="225"/>
    <x v="0"/>
    <n v="37"/>
    <x v="0"/>
    <n v="3"/>
  </r>
  <r>
    <x v="330"/>
    <x v="7"/>
    <n v="7"/>
    <n v="1"/>
    <n v="2025"/>
    <s v="Jan"/>
    <x v="5"/>
    <x v="0"/>
    <x v="2"/>
    <d v="1899-12-30T18:45:00"/>
    <x v="330"/>
    <x v="1"/>
    <s v="Whitefield"/>
    <x v="6"/>
    <s v="Vegetables"/>
    <x v="2"/>
    <n v="68"/>
    <n v="340"/>
    <x v="0"/>
    <x v="3"/>
    <x v="1"/>
    <n v="31"/>
    <x v="0"/>
    <n v="5"/>
  </r>
  <r>
    <x v="331"/>
    <x v="3"/>
    <n v="11"/>
    <n v="1"/>
    <n v="2025"/>
    <s v="Jan"/>
    <x v="3"/>
    <x v="1"/>
    <x v="0"/>
    <d v="1899-12-30T18:15:00"/>
    <x v="331"/>
    <x v="0"/>
    <s v="Rohini"/>
    <x v="5"/>
    <s v="Dairy"/>
    <x v="2"/>
    <n v="15"/>
    <n v="75"/>
    <x v="0"/>
    <x v="65"/>
    <x v="1"/>
    <n v="18"/>
    <x v="0"/>
    <n v="0"/>
  </r>
  <r>
    <x v="332"/>
    <x v="7"/>
    <n v="7"/>
    <n v="1"/>
    <n v="2025"/>
    <s v="Jan"/>
    <x v="5"/>
    <x v="0"/>
    <x v="0"/>
    <d v="1899-12-30T18:15:00"/>
    <x v="332"/>
    <x v="4"/>
    <s v="Andheri"/>
    <x v="0"/>
    <s v="Dairy"/>
    <x v="5"/>
    <n v="19"/>
    <n v="57"/>
    <x v="1"/>
    <x v="203"/>
    <x v="1"/>
    <n v="48"/>
    <x v="0"/>
    <n v="4"/>
  </r>
  <r>
    <x v="333"/>
    <x v="2"/>
    <n v="2"/>
    <n v="1"/>
    <n v="2025"/>
    <s v="Jan"/>
    <x v="2"/>
    <x v="0"/>
    <x v="2"/>
    <d v="1899-12-30T18:45:00"/>
    <x v="333"/>
    <x v="6"/>
    <s v="Kukatpally"/>
    <x v="3"/>
    <s v="Bakery"/>
    <x v="3"/>
    <n v="84"/>
    <n v="336"/>
    <x v="2"/>
    <x v="226"/>
    <x v="0"/>
    <n v="30"/>
    <x v="1"/>
    <n v="4"/>
  </r>
  <r>
    <x v="334"/>
    <x v="3"/>
    <n v="11"/>
    <n v="1"/>
    <n v="2025"/>
    <s v="Jan"/>
    <x v="3"/>
    <x v="1"/>
    <x v="1"/>
    <d v="1899-12-30T09:05:00"/>
    <x v="334"/>
    <x v="5"/>
    <s v="Kukatpally"/>
    <x v="4"/>
    <s v="Fruits"/>
    <x v="4"/>
    <n v="119"/>
    <n v="238"/>
    <x v="0"/>
    <x v="20"/>
    <x v="3"/>
    <n v="59"/>
    <x v="0"/>
    <n v="5"/>
  </r>
  <r>
    <x v="335"/>
    <x v="8"/>
    <n v="3"/>
    <n v="1"/>
    <n v="2025"/>
    <s v="Jan"/>
    <x v="4"/>
    <x v="0"/>
    <x v="3"/>
    <d v="1899-12-30T10:30:00"/>
    <x v="335"/>
    <x v="3"/>
    <s v="Hinjewadi"/>
    <x v="4"/>
    <s v="Fruits"/>
    <x v="3"/>
    <n v="111"/>
    <n v="444"/>
    <x v="2"/>
    <x v="170"/>
    <x v="1"/>
    <n v="57"/>
    <x v="0"/>
    <n v="0"/>
  </r>
  <r>
    <x v="336"/>
    <x v="8"/>
    <n v="3"/>
    <n v="1"/>
    <n v="2025"/>
    <s v="Jan"/>
    <x v="4"/>
    <x v="0"/>
    <x v="0"/>
    <d v="1899-12-30T18:15:00"/>
    <x v="336"/>
    <x v="0"/>
    <s v="Andheri"/>
    <x v="3"/>
    <s v="Bakery"/>
    <x v="2"/>
    <n v="48"/>
    <n v="240"/>
    <x v="1"/>
    <x v="171"/>
    <x v="1"/>
    <n v="55"/>
    <x v="1"/>
    <n v="5"/>
  </r>
  <r>
    <x v="337"/>
    <x v="7"/>
    <n v="7"/>
    <n v="1"/>
    <n v="2025"/>
    <s v="Jan"/>
    <x v="5"/>
    <x v="0"/>
    <x v="1"/>
    <d v="1899-12-30T09:05:00"/>
    <x v="337"/>
    <x v="6"/>
    <s v="Kukatpally"/>
    <x v="3"/>
    <s v="Bakery"/>
    <x v="2"/>
    <n v="24"/>
    <n v="120"/>
    <x v="0"/>
    <x v="184"/>
    <x v="0"/>
    <n v="52"/>
    <x v="0"/>
    <n v="3"/>
  </r>
  <r>
    <x v="338"/>
    <x v="7"/>
    <n v="7"/>
    <n v="1"/>
    <n v="2025"/>
    <s v="Jan"/>
    <x v="5"/>
    <x v="0"/>
    <x v="1"/>
    <d v="1899-12-30T09:05:00"/>
    <x v="338"/>
    <x v="0"/>
    <s v="Kukatpally"/>
    <x v="5"/>
    <s v="Dairy"/>
    <x v="1"/>
    <n v="20"/>
    <n v="120"/>
    <x v="2"/>
    <x v="179"/>
    <x v="1"/>
    <n v="40"/>
    <x v="1"/>
    <n v="1"/>
  </r>
  <r>
    <x v="339"/>
    <x v="10"/>
    <n v="5"/>
    <n v="1"/>
    <n v="2025"/>
    <s v="Jan"/>
    <x v="6"/>
    <x v="1"/>
    <x v="0"/>
    <d v="1899-12-30T18:15:00"/>
    <x v="339"/>
    <x v="3"/>
    <s v="Velachery"/>
    <x v="5"/>
    <s v="Dairy"/>
    <x v="1"/>
    <n v="103"/>
    <n v="618"/>
    <x v="0"/>
    <x v="227"/>
    <x v="2"/>
    <n v="44"/>
    <x v="1"/>
    <n v="1"/>
  </r>
  <r>
    <x v="340"/>
    <x v="5"/>
    <n v="10"/>
    <n v="1"/>
    <n v="2025"/>
    <s v="Jan"/>
    <x v="4"/>
    <x v="0"/>
    <x v="2"/>
    <d v="1899-12-30T18:45:00"/>
    <x v="340"/>
    <x v="4"/>
    <s v="Kukatpally"/>
    <x v="1"/>
    <s v="Fruits"/>
    <x v="2"/>
    <n v="89"/>
    <n v="445"/>
    <x v="0"/>
    <x v="228"/>
    <x v="1"/>
    <n v="29"/>
    <x v="0"/>
    <n v="0"/>
  </r>
  <r>
    <x v="341"/>
    <x v="3"/>
    <n v="11"/>
    <n v="1"/>
    <n v="2025"/>
    <s v="Jan"/>
    <x v="3"/>
    <x v="1"/>
    <x v="0"/>
    <d v="1899-12-30T18:15:00"/>
    <x v="341"/>
    <x v="0"/>
    <s v="Andheri"/>
    <x v="6"/>
    <s v="Vegetables"/>
    <x v="5"/>
    <n v="44"/>
    <n v="132"/>
    <x v="0"/>
    <x v="229"/>
    <x v="0"/>
    <n v="37"/>
    <x v="0"/>
    <n v="3"/>
  </r>
  <r>
    <x v="342"/>
    <x v="10"/>
    <n v="5"/>
    <n v="1"/>
    <n v="2025"/>
    <s v="Jan"/>
    <x v="6"/>
    <x v="1"/>
    <x v="0"/>
    <d v="1899-12-30T18:15:00"/>
    <x v="342"/>
    <x v="6"/>
    <s v="Dwarka"/>
    <x v="7"/>
    <s v="Grocery"/>
    <x v="0"/>
    <n v="21"/>
    <n v="21"/>
    <x v="1"/>
    <x v="230"/>
    <x v="3"/>
    <n v="11"/>
    <x v="0"/>
    <n v="1"/>
  </r>
  <r>
    <x v="343"/>
    <x v="8"/>
    <n v="3"/>
    <n v="1"/>
    <n v="2025"/>
    <s v="Jan"/>
    <x v="4"/>
    <x v="0"/>
    <x v="2"/>
    <d v="1899-12-30T18:45:00"/>
    <x v="343"/>
    <x v="5"/>
    <s v="Gachibowli"/>
    <x v="4"/>
    <s v="Fruits"/>
    <x v="2"/>
    <n v="56"/>
    <n v="280"/>
    <x v="2"/>
    <x v="51"/>
    <x v="0"/>
    <n v="34"/>
    <x v="1"/>
    <n v="3"/>
  </r>
  <r>
    <x v="344"/>
    <x v="0"/>
    <n v="8"/>
    <n v="1"/>
    <n v="2025"/>
    <s v="Jan"/>
    <x v="0"/>
    <x v="0"/>
    <x v="2"/>
    <d v="1899-12-30T18:45:00"/>
    <x v="344"/>
    <x v="2"/>
    <s v="Rohini"/>
    <x v="3"/>
    <s v="Bakery"/>
    <x v="1"/>
    <n v="43"/>
    <n v="258"/>
    <x v="1"/>
    <x v="231"/>
    <x v="0"/>
    <n v="33"/>
    <x v="1"/>
    <n v="2"/>
  </r>
  <r>
    <x v="345"/>
    <x v="1"/>
    <n v="6"/>
    <n v="1"/>
    <n v="2025"/>
    <s v="Jan"/>
    <x v="1"/>
    <x v="0"/>
    <x v="0"/>
    <d v="1899-12-30T18:15:00"/>
    <x v="345"/>
    <x v="0"/>
    <s v="Kukatpally"/>
    <x v="7"/>
    <s v="Grocery"/>
    <x v="5"/>
    <n v="80"/>
    <n v="240"/>
    <x v="2"/>
    <x v="232"/>
    <x v="3"/>
    <n v="34"/>
    <x v="0"/>
    <n v="0"/>
  </r>
  <r>
    <x v="346"/>
    <x v="8"/>
    <n v="3"/>
    <n v="1"/>
    <n v="2025"/>
    <s v="Jan"/>
    <x v="4"/>
    <x v="0"/>
    <x v="1"/>
    <d v="1899-12-30T09:05:00"/>
    <x v="346"/>
    <x v="6"/>
    <s v="Andheri"/>
    <x v="2"/>
    <s v="Dairy"/>
    <x v="4"/>
    <n v="117"/>
    <n v="234"/>
    <x v="1"/>
    <x v="70"/>
    <x v="0"/>
    <n v="10"/>
    <x v="1"/>
    <n v="5"/>
  </r>
  <r>
    <x v="347"/>
    <x v="1"/>
    <n v="6"/>
    <n v="1"/>
    <n v="2025"/>
    <s v="Jan"/>
    <x v="1"/>
    <x v="0"/>
    <x v="2"/>
    <d v="1899-12-30T18:45:00"/>
    <x v="347"/>
    <x v="1"/>
    <s v="Rohini"/>
    <x v="4"/>
    <s v="Fruits"/>
    <x v="5"/>
    <n v="58"/>
    <n v="174"/>
    <x v="1"/>
    <x v="207"/>
    <x v="0"/>
    <n v="35"/>
    <x v="0"/>
    <n v="2"/>
  </r>
  <r>
    <x v="348"/>
    <x v="5"/>
    <n v="10"/>
    <n v="1"/>
    <n v="2025"/>
    <s v="Jan"/>
    <x v="4"/>
    <x v="0"/>
    <x v="0"/>
    <d v="1899-12-30T18:15:00"/>
    <x v="348"/>
    <x v="6"/>
    <s v="Velachery"/>
    <x v="1"/>
    <s v="Fruits"/>
    <x v="5"/>
    <n v="89"/>
    <n v="267"/>
    <x v="2"/>
    <x v="233"/>
    <x v="3"/>
    <n v="55"/>
    <x v="0"/>
    <n v="5"/>
  </r>
  <r>
    <x v="349"/>
    <x v="4"/>
    <n v="9"/>
    <n v="1"/>
    <n v="2025"/>
    <s v="Jan"/>
    <x v="2"/>
    <x v="0"/>
    <x v="0"/>
    <d v="1899-12-30T18:15:00"/>
    <x v="349"/>
    <x v="3"/>
    <s v="Whitefield"/>
    <x v="3"/>
    <s v="Bakery"/>
    <x v="3"/>
    <n v="113"/>
    <n v="452"/>
    <x v="0"/>
    <x v="234"/>
    <x v="1"/>
    <n v="51"/>
    <x v="1"/>
    <n v="4"/>
  </r>
  <r>
    <x v="350"/>
    <x v="4"/>
    <n v="9"/>
    <n v="1"/>
    <n v="2025"/>
    <s v="Jan"/>
    <x v="2"/>
    <x v="0"/>
    <x v="3"/>
    <d v="1899-12-30T10:30:00"/>
    <x v="350"/>
    <x v="1"/>
    <s v="Gachibowli"/>
    <x v="0"/>
    <s v="Dairy"/>
    <x v="4"/>
    <n v="107"/>
    <n v="224"/>
    <x v="2"/>
    <x v="235"/>
    <x v="3"/>
    <n v="44"/>
    <x v="0"/>
    <n v="2"/>
  </r>
  <r>
    <x v="351"/>
    <x v="2"/>
    <n v="2"/>
    <n v="1"/>
    <n v="2025"/>
    <s v="Jan"/>
    <x v="2"/>
    <x v="0"/>
    <x v="1"/>
    <d v="1899-12-30T09:05:00"/>
    <x v="351"/>
    <x v="0"/>
    <s v="Kukatpally"/>
    <x v="1"/>
    <s v="Fruits"/>
    <x v="0"/>
    <n v="86"/>
    <n v="86"/>
    <x v="1"/>
    <x v="206"/>
    <x v="3"/>
    <n v="14"/>
    <x v="0"/>
    <n v="4"/>
  </r>
  <r>
    <x v="352"/>
    <x v="3"/>
    <n v="11"/>
    <n v="1"/>
    <n v="2025"/>
    <s v="Jan"/>
    <x v="3"/>
    <x v="1"/>
    <x v="2"/>
    <d v="1899-12-30T18:45:00"/>
    <x v="352"/>
    <x v="3"/>
    <s v="Kukatpally"/>
    <x v="5"/>
    <s v="Dairy"/>
    <x v="2"/>
    <n v="37"/>
    <n v="185"/>
    <x v="1"/>
    <x v="236"/>
    <x v="1"/>
    <n v="21"/>
    <x v="1"/>
    <n v="2"/>
  </r>
  <r>
    <x v="353"/>
    <x v="1"/>
    <n v="6"/>
    <n v="1"/>
    <n v="2025"/>
    <s v="Jan"/>
    <x v="1"/>
    <x v="0"/>
    <x v="3"/>
    <d v="1899-12-30T10:30:00"/>
    <x v="353"/>
    <x v="6"/>
    <s v="Velachery"/>
    <x v="3"/>
    <s v="Bakery"/>
    <x v="4"/>
    <n v="28"/>
    <n v="56"/>
    <x v="1"/>
    <x v="138"/>
    <x v="3"/>
    <n v="47"/>
    <x v="0"/>
    <n v="2"/>
  </r>
  <r>
    <x v="354"/>
    <x v="6"/>
    <n v="4"/>
    <n v="1"/>
    <n v="2025"/>
    <s v="Jan"/>
    <x v="3"/>
    <x v="1"/>
    <x v="3"/>
    <d v="1899-12-30T10:30:00"/>
    <x v="354"/>
    <x v="1"/>
    <s v="Velachery"/>
    <x v="4"/>
    <s v="Fruits"/>
    <x v="1"/>
    <n v="35"/>
    <n v="210"/>
    <x v="2"/>
    <x v="77"/>
    <x v="1"/>
    <n v="21"/>
    <x v="1"/>
    <n v="0"/>
  </r>
  <r>
    <x v="355"/>
    <x v="5"/>
    <n v="10"/>
    <n v="1"/>
    <n v="2025"/>
    <s v="Jan"/>
    <x v="4"/>
    <x v="0"/>
    <x v="3"/>
    <d v="1899-12-30T10:30:00"/>
    <x v="355"/>
    <x v="5"/>
    <s v="Gachibowli"/>
    <x v="3"/>
    <s v="Bakery"/>
    <x v="1"/>
    <n v="14"/>
    <n v="84"/>
    <x v="1"/>
    <x v="198"/>
    <x v="0"/>
    <n v="39"/>
    <x v="0"/>
    <n v="0"/>
  </r>
  <r>
    <x v="356"/>
    <x v="8"/>
    <n v="3"/>
    <n v="1"/>
    <n v="2025"/>
    <s v="Jan"/>
    <x v="4"/>
    <x v="0"/>
    <x v="3"/>
    <d v="1899-12-30T10:30:00"/>
    <x v="356"/>
    <x v="6"/>
    <s v="Kukatpally"/>
    <x v="8"/>
    <s v="Snacks"/>
    <x v="4"/>
    <n v="120"/>
    <n v="240"/>
    <x v="0"/>
    <x v="143"/>
    <x v="1"/>
    <n v="27"/>
    <x v="0"/>
    <n v="0"/>
  </r>
  <r>
    <x v="357"/>
    <x v="3"/>
    <n v="11"/>
    <n v="1"/>
    <n v="2025"/>
    <s v="Jan"/>
    <x v="3"/>
    <x v="1"/>
    <x v="1"/>
    <d v="1899-12-30T09:05:00"/>
    <x v="357"/>
    <x v="1"/>
    <s v="Dwarka"/>
    <x v="7"/>
    <s v="Grocery"/>
    <x v="0"/>
    <n v="58"/>
    <n v="58"/>
    <x v="1"/>
    <x v="237"/>
    <x v="0"/>
    <n v="50"/>
    <x v="1"/>
    <n v="1"/>
  </r>
  <r>
    <x v="358"/>
    <x v="3"/>
    <n v="11"/>
    <n v="1"/>
    <n v="2025"/>
    <s v="Jan"/>
    <x v="3"/>
    <x v="1"/>
    <x v="3"/>
    <d v="1899-12-30T10:30:00"/>
    <x v="358"/>
    <x v="2"/>
    <s v="Velachery"/>
    <x v="5"/>
    <s v="Dairy"/>
    <x v="4"/>
    <n v="103"/>
    <n v="206"/>
    <x v="0"/>
    <x v="42"/>
    <x v="3"/>
    <n v="44"/>
    <x v="1"/>
    <n v="4"/>
  </r>
  <r>
    <x v="359"/>
    <x v="1"/>
    <n v="6"/>
    <n v="1"/>
    <n v="2025"/>
    <s v="Jan"/>
    <x v="1"/>
    <x v="0"/>
    <x v="3"/>
    <d v="1899-12-30T10:30:00"/>
    <x v="359"/>
    <x v="5"/>
    <s v="Rohini"/>
    <x v="4"/>
    <s v="Fruits"/>
    <x v="3"/>
    <n v="101"/>
    <n v="404"/>
    <x v="1"/>
    <x v="238"/>
    <x v="2"/>
    <n v="39"/>
    <x v="1"/>
    <n v="4"/>
  </r>
  <r>
    <x v="360"/>
    <x v="3"/>
    <n v="11"/>
    <n v="1"/>
    <n v="2025"/>
    <s v="Jan"/>
    <x v="3"/>
    <x v="1"/>
    <x v="3"/>
    <d v="1899-12-30T10:30:00"/>
    <x v="360"/>
    <x v="1"/>
    <s v="Dwarka"/>
    <x v="0"/>
    <s v="Dairy"/>
    <x v="1"/>
    <n v="107"/>
    <n v="642"/>
    <x v="1"/>
    <x v="10"/>
    <x v="0"/>
    <n v="20"/>
    <x v="0"/>
    <n v="5"/>
  </r>
  <r>
    <x v="361"/>
    <x v="0"/>
    <n v="8"/>
    <n v="1"/>
    <n v="2025"/>
    <s v="Jan"/>
    <x v="0"/>
    <x v="0"/>
    <x v="0"/>
    <d v="1899-12-30T18:15:00"/>
    <x v="361"/>
    <x v="0"/>
    <s v="Whitefield"/>
    <x v="4"/>
    <s v="Fruits"/>
    <x v="1"/>
    <n v="81"/>
    <n v="486"/>
    <x v="0"/>
    <x v="239"/>
    <x v="2"/>
    <n v="53"/>
    <x v="0"/>
    <n v="0"/>
  </r>
  <r>
    <x v="362"/>
    <x v="3"/>
    <n v="11"/>
    <n v="1"/>
    <n v="2025"/>
    <s v="Jan"/>
    <x v="3"/>
    <x v="1"/>
    <x v="1"/>
    <d v="1899-12-30T09:05:00"/>
    <x v="362"/>
    <x v="0"/>
    <s v="Rohini"/>
    <x v="7"/>
    <s v="Grocery"/>
    <x v="2"/>
    <n v="119"/>
    <n v="595"/>
    <x v="1"/>
    <x v="146"/>
    <x v="3"/>
    <n v="28"/>
    <x v="1"/>
    <n v="1"/>
  </r>
  <r>
    <x v="363"/>
    <x v="9"/>
    <n v="1"/>
    <n v="1"/>
    <n v="2025"/>
    <s v="Jan"/>
    <x v="0"/>
    <x v="0"/>
    <x v="3"/>
    <d v="1899-12-30T10:30:00"/>
    <x v="363"/>
    <x v="6"/>
    <s v="Gachibowli"/>
    <x v="3"/>
    <s v="Bakery"/>
    <x v="0"/>
    <n v="118"/>
    <n v="118"/>
    <x v="1"/>
    <x v="240"/>
    <x v="2"/>
    <n v="19"/>
    <x v="1"/>
    <n v="2"/>
  </r>
  <r>
    <x v="364"/>
    <x v="9"/>
    <n v="1"/>
    <n v="1"/>
    <n v="2025"/>
    <s v="Jan"/>
    <x v="0"/>
    <x v="0"/>
    <x v="2"/>
    <d v="1899-12-30T18:45:00"/>
    <x v="364"/>
    <x v="1"/>
    <s v="Gachibowli"/>
    <x v="3"/>
    <s v="Bakery"/>
    <x v="2"/>
    <n v="40"/>
    <n v="200"/>
    <x v="1"/>
    <x v="190"/>
    <x v="3"/>
    <n v="48"/>
    <x v="1"/>
    <n v="0"/>
  </r>
  <r>
    <x v="365"/>
    <x v="2"/>
    <n v="2"/>
    <n v="1"/>
    <n v="2025"/>
    <s v="Jan"/>
    <x v="2"/>
    <x v="0"/>
    <x v="1"/>
    <d v="1899-12-30T09:05:00"/>
    <x v="365"/>
    <x v="4"/>
    <s v="Rohini"/>
    <x v="6"/>
    <s v="Vegetables"/>
    <x v="2"/>
    <n v="13"/>
    <n v="65"/>
    <x v="2"/>
    <x v="17"/>
    <x v="1"/>
    <n v="58"/>
    <x v="1"/>
    <n v="5"/>
  </r>
  <r>
    <x v="366"/>
    <x v="2"/>
    <n v="2"/>
    <n v="1"/>
    <n v="2025"/>
    <s v="Jan"/>
    <x v="2"/>
    <x v="0"/>
    <x v="0"/>
    <d v="1899-12-30T18:15:00"/>
    <x v="366"/>
    <x v="6"/>
    <s v="Dwarka"/>
    <x v="5"/>
    <s v="Dairy"/>
    <x v="2"/>
    <n v="88"/>
    <n v="440"/>
    <x v="1"/>
    <x v="241"/>
    <x v="0"/>
    <n v="26"/>
    <x v="0"/>
    <n v="5"/>
  </r>
  <r>
    <x v="367"/>
    <x v="1"/>
    <n v="6"/>
    <n v="1"/>
    <n v="2025"/>
    <s v="Jan"/>
    <x v="1"/>
    <x v="0"/>
    <x v="1"/>
    <d v="1899-12-30T09:05:00"/>
    <x v="367"/>
    <x v="2"/>
    <s v="Kukatpally"/>
    <x v="4"/>
    <s v="Fruits"/>
    <x v="0"/>
    <n v="58"/>
    <n v="58"/>
    <x v="0"/>
    <x v="242"/>
    <x v="1"/>
    <n v="24"/>
    <x v="1"/>
    <n v="1"/>
  </r>
  <r>
    <x v="368"/>
    <x v="9"/>
    <n v="1"/>
    <n v="1"/>
    <n v="2025"/>
    <s v="Jan"/>
    <x v="0"/>
    <x v="0"/>
    <x v="0"/>
    <d v="1899-12-30T18:15:00"/>
    <x v="368"/>
    <x v="3"/>
    <s v="Andheri"/>
    <x v="3"/>
    <s v="Bakery"/>
    <x v="5"/>
    <n v="97"/>
    <n v="291"/>
    <x v="0"/>
    <x v="243"/>
    <x v="3"/>
    <n v="28"/>
    <x v="1"/>
    <n v="3"/>
  </r>
  <r>
    <x v="369"/>
    <x v="3"/>
    <n v="11"/>
    <n v="1"/>
    <n v="2025"/>
    <s v="Jan"/>
    <x v="3"/>
    <x v="1"/>
    <x v="0"/>
    <d v="1899-12-30T18:15:00"/>
    <x v="369"/>
    <x v="0"/>
    <s v="Andheri"/>
    <x v="7"/>
    <s v="Grocery"/>
    <x v="3"/>
    <n v="89"/>
    <n v="356"/>
    <x v="2"/>
    <x v="244"/>
    <x v="2"/>
    <n v="13"/>
    <x v="0"/>
    <n v="1"/>
  </r>
  <r>
    <x v="370"/>
    <x v="4"/>
    <n v="9"/>
    <n v="1"/>
    <n v="2025"/>
    <s v="Jan"/>
    <x v="2"/>
    <x v="0"/>
    <x v="3"/>
    <d v="1899-12-30T10:30:00"/>
    <x v="370"/>
    <x v="5"/>
    <s v="Whitefield"/>
    <x v="2"/>
    <s v="Dairy"/>
    <x v="3"/>
    <n v="49"/>
    <n v="196"/>
    <x v="1"/>
    <x v="42"/>
    <x v="1"/>
    <n v="49"/>
    <x v="0"/>
    <n v="5"/>
  </r>
  <r>
    <x v="371"/>
    <x v="4"/>
    <n v="9"/>
    <n v="1"/>
    <n v="2025"/>
    <s v="Jan"/>
    <x v="2"/>
    <x v="0"/>
    <x v="0"/>
    <d v="1899-12-30T18:15:00"/>
    <x v="371"/>
    <x v="1"/>
    <s v="Velachery"/>
    <x v="8"/>
    <s v="Snacks"/>
    <x v="0"/>
    <n v="111"/>
    <n v="111"/>
    <x v="2"/>
    <x v="152"/>
    <x v="1"/>
    <n v="12"/>
    <x v="1"/>
    <n v="4"/>
  </r>
  <r>
    <x v="372"/>
    <x v="2"/>
    <n v="2"/>
    <n v="1"/>
    <n v="2025"/>
    <s v="Jan"/>
    <x v="2"/>
    <x v="0"/>
    <x v="2"/>
    <d v="1899-12-30T18:45:00"/>
    <x v="372"/>
    <x v="0"/>
    <s v="Hinjewadi"/>
    <x v="1"/>
    <s v="Fruits"/>
    <x v="5"/>
    <n v="77"/>
    <n v="231"/>
    <x v="1"/>
    <x v="63"/>
    <x v="2"/>
    <n v="43"/>
    <x v="0"/>
    <n v="3"/>
  </r>
  <r>
    <x v="373"/>
    <x v="8"/>
    <n v="3"/>
    <n v="1"/>
    <n v="2025"/>
    <s v="Jan"/>
    <x v="4"/>
    <x v="0"/>
    <x v="2"/>
    <d v="1899-12-30T18:45:00"/>
    <x v="373"/>
    <x v="0"/>
    <s v="Dwarka"/>
    <x v="2"/>
    <s v="Dairy"/>
    <x v="0"/>
    <n v="33"/>
    <n v="43"/>
    <x v="2"/>
    <x v="245"/>
    <x v="1"/>
    <n v="50"/>
    <x v="0"/>
    <n v="5"/>
  </r>
  <r>
    <x v="374"/>
    <x v="5"/>
    <n v="10"/>
    <n v="1"/>
    <n v="2025"/>
    <s v="Jan"/>
    <x v="4"/>
    <x v="0"/>
    <x v="0"/>
    <d v="1899-12-30T18:15:00"/>
    <x v="374"/>
    <x v="4"/>
    <s v="Velachery"/>
    <x v="3"/>
    <s v="Bakery"/>
    <x v="5"/>
    <n v="71"/>
    <n v="213"/>
    <x v="1"/>
    <x v="246"/>
    <x v="1"/>
    <n v="25"/>
    <x v="1"/>
    <n v="0"/>
  </r>
  <r>
    <x v="375"/>
    <x v="6"/>
    <n v="4"/>
    <n v="1"/>
    <n v="2025"/>
    <s v="Jan"/>
    <x v="3"/>
    <x v="1"/>
    <x v="3"/>
    <d v="1899-12-30T10:30:00"/>
    <x v="375"/>
    <x v="0"/>
    <s v="Dwarka"/>
    <x v="1"/>
    <s v="Fruits"/>
    <x v="0"/>
    <n v="92"/>
    <n v="92"/>
    <x v="0"/>
    <x v="52"/>
    <x v="0"/>
    <n v="41"/>
    <x v="1"/>
    <n v="0"/>
  </r>
  <r>
    <x v="376"/>
    <x v="0"/>
    <n v="8"/>
    <n v="1"/>
    <n v="2025"/>
    <s v="Jan"/>
    <x v="0"/>
    <x v="0"/>
    <x v="1"/>
    <d v="1899-12-30T09:05:00"/>
    <x v="376"/>
    <x v="1"/>
    <s v="Gachibowli"/>
    <x v="1"/>
    <s v="Fruits"/>
    <x v="1"/>
    <n v="54"/>
    <n v="324"/>
    <x v="0"/>
    <x v="247"/>
    <x v="0"/>
    <n v="36"/>
    <x v="0"/>
    <n v="2"/>
  </r>
  <r>
    <x v="377"/>
    <x v="1"/>
    <n v="6"/>
    <n v="1"/>
    <n v="2025"/>
    <s v="Jan"/>
    <x v="1"/>
    <x v="0"/>
    <x v="2"/>
    <d v="1899-12-30T18:45:00"/>
    <x v="377"/>
    <x v="4"/>
    <s v="Rohini"/>
    <x v="7"/>
    <s v="Grocery"/>
    <x v="1"/>
    <n v="98"/>
    <n v="588"/>
    <x v="1"/>
    <x v="36"/>
    <x v="0"/>
    <n v="20"/>
    <x v="0"/>
    <n v="4"/>
  </r>
  <r>
    <x v="378"/>
    <x v="1"/>
    <n v="6"/>
    <n v="1"/>
    <n v="2025"/>
    <s v="Jan"/>
    <x v="1"/>
    <x v="0"/>
    <x v="1"/>
    <d v="1899-12-30T09:05:00"/>
    <x v="378"/>
    <x v="1"/>
    <s v="Dwarka"/>
    <x v="1"/>
    <s v="Fruits"/>
    <x v="1"/>
    <n v="15"/>
    <n v="90"/>
    <x v="2"/>
    <x v="248"/>
    <x v="2"/>
    <n v="50"/>
    <x v="0"/>
    <n v="1"/>
  </r>
  <r>
    <x v="379"/>
    <x v="5"/>
    <n v="10"/>
    <n v="1"/>
    <n v="2025"/>
    <s v="Jan"/>
    <x v="4"/>
    <x v="0"/>
    <x v="2"/>
    <d v="1899-12-30T18:45:00"/>
    <x v="379"/>
    <x v="1"/>
    <s v="Andheri"/>
    <x v="3"/>
    <s v="Bakery"/>
    <x v="3"/>
    <n v="32"/>
    <n v="128"/>
    <x v="1"/>
    <x v="249"/>
    <x v="2"/>
    <n v="40"/>
    <x v="1"/>
    <n v="2"/>
  </r>
  <r>
    <x v="380"/>
    <x v="8"/>
    <n v="3"/>
    <n v="1"/>
    <n v="2025"/>
    <s v="Jan"/>
    <x v="4"/>
    <x v="0"/>
    <x v="0"/>
    <d v="1899-12-30T18:15:00"/>
    <x v="380"/>
    <x v="5"/>
    <s v="Gachibowli"/>
    <x v="2"/>
    <s v="Dairy"/>
    <x v="3"/>
    <n v="115"/>
    <n v="460"/>
    <x v="1"/>
    <x v="149"/>
    <x v="0"/>
    <n v="29"/>
    <x v="1"/>
    <n v="2"/>
  </r>
  <r>
    <x v="381"/>
    <x v="0"/>
    <n v="8"/>
    <n v="1"/>
    <n v="2025"/>
    <s v="Jan"/>
    <x v="0"/>
    <x v="0"/>
    <x v="2"/>
    <d v="1899-12-30T18:45:00"/>
    <x v="381"/>
    <x v="2"/>
    <s v="Whitefield"/>
    <x v="8"/>
    <s v="Snacks"/>
    <x v="0"/>
    <n v="47"/>
    <n v="47"/>
    <x v="1"/>
    <x v="250"/>
    <x v="0"/>
    <n v="14"/>
    <x v="1"/>
    <n v="2"/>
  </r>
  <r>
    <x v="382"/>
    <x v="1"/>
    <n v="6"/>
    <n v="1"/>
    <n v="2025"/>
    <s v="Jan"/>
    <x v="1"/>
    <x v="0"/>
    <x v="3"/>
    <d v="1899-12-30T10:30:00"/>
    <x v="382"/>
    <x v="6"/>
    <s v="Kukatpally"/>
    <x v="8"/>
    <s v="Snacks"/>
    <x v="0"/>
    <n v="28"/>
    <n v="28"/>
    <x v="0"/>
    <x v="213"/>
    <x v="2"/>
    <n v="52"/>
    <x v="0"/>
    <n v="5"/>
  </r>
  <r>
    <x v="383"/>
    <x v="1"/>
    <n v="6"/>
    <n v="1"/>
    <n v="2025"/>
    <s v="Jan"/>
    <x v="1"/>
    <x v="0"/>
    <x v="0"/>
    <d v="1899-12-30T18:15:00"/>
    <x v="383"/>
    <x v="1"/>
    <s v="Dwarka"/>
    <x v="1"/>
    <s v="Fruits"/>
    <x v="2"/>
    <n v="80"/>
    <n v="400"/>
    <x v="1"/>
    <x v="251"/>
    <x v="1"/>
    <n v="56"/>
    <x v="0"/>
    <n v="2"/>
  </r>
  <r>
    <x v="384"/>
    <x v="10"/>
    <n v="5"/>
    <n v="1"/>
    <n v="2025"/>
    <s v="Jan"/>
    <x v="6"/>
    <x v="1"/>
    <x v="0"/>
    <d v="1899-12-30T18:15:00"/>
    <x v="384"/>
    <x v="1"/>
    <s v="Velachery"/>
    <x v="2"/>
    <s v="Dairy"/>
    <x v="3"/>
    <n v="89"/>
    <n v="356"/>
    <x v="1"/>
    <x v="252"/>
    <x v="2"/>
    <n v="20"/>
    <x v="1"/>
    <n v="2"/>
  </r>
  <r>
    <x v="385"/>
    <x v="9"/>
    <n v="1"/>
    <n v="1"/>
    <n v="2025"/>
    <s v="Jan"/>
    <x v="0"/>
    <x v="0"/>
    <x v="2"/>
    <d v="1899-12-30T18:45:00"/>
    <x v="385"/>
    <x v="2"/>
    <s v="Whitefield"/>
    <x v="1"/>
    <s v="Fruits"/>
    <x v="1"/>
    <n v="61"/>
    <n v="366"/>
    <x v="2"/>
    <x v="253"/>
    <x v="2"/>
    <n v="16"/>
    <x v="1"/>
    <n v="4"/>
  </r>
  <r>
    <x v="386"/>
    <x v="7"/>
    <n v="7"/>
    <n v="1"/>
    <n v="2025"/>
    <s v="Jan"/>
    <x v="5"/>
    <x v="0"/>
    <x v="1"/>
    <d v="1899-12-30T09:05:00"/>
    <x v="386"/>
    <x v="0"/>
    <s v="Kukatpally"/>
    <x v="8"/>
    <s v="Snacks"/>
    <x v="5"/>
    <n v="16"/>
    <n v="58"/>
    <x v="0"/>
    <x v="113"/>
    <x v="1"/>
    <n v="45"/>
    <x v="0"/>
    <n v="0"/>
  </r>
  <r>
    <x v="387"/>
    <x v="9"/>
    <n v="1"/>
    <n v="1"/>
    <n v="2025"/>
    <s v="Jan"/>
    <x v="0"/>
    <x v="0"/>
    <x v="2"/>
    <d v="1899-12-30T18:45:00"/>
    <x v="387"/>
    <x v="2"/>
    <s v="Velachery"/>
    <x v="7"/>
    <s v="Grocery"/>
    <x v="3"/>
    <n v="83"/>
    <n v="332"/>
    <x v="1"/>
    <x v="254"/>
    <x v="2"/>
    <n v="58"/>
    <x v="0"/>
    <n v="2"/>
  </r>
  <r>
    <x v="388"/>
    <x v="1"/>
    <n v="6"/>
    <n v="1"/>
    <n v="2025"/>
    <s v="Jan"/>
    <x v="1"/>
    <x v="0"/>
    <x v="2"/>
    <d v="1899-12-30T18:45:00"/>
    <x v="388"/>
    <x v="2"/>
    <s v="Gachibowli"/>
    <x v="4"/>
    <s v="Fruits"/>
    <x v="3"/>
    <n v="57"/>
    <n v="228"/>
    <x v="1"/>
    <x v="20"/>
    <x v="0"/>
    <n v="28"/>
    <x v="1"/>
    <n v="2"/>
  </r>
  <r>
    <x v="389"/>
    <x v="3"/>
    <n v="11"/>
    <n v="1"/>
    <n v="2025"/>
    <s v="Jan"/>
    <x v="3"/>
    <x v="1"/>
    <x v="0"/>
    <d v="1899-12-30T18:15:00"/>
    <x v="389"/>
    <x v="5"/>
    <s v="Kukatpally"/>
    <x v="6"/>
    <s v="Vegetables"/>
    <x v="5"/>
    <n v="57"/>
    <n v="171"/>
    <x v="0"/>
    <x v="255"/>
    <x v="1"/>
    <n v="29"/>
    <x v="0"/>
    <n v="5"/>
  </r>
  <r>
    <x v="390"/>
    <x v="7"/>
    <n v="7"/>
    <n v="1"/>
    <n v="2025"/>
    <s v="Jan"/>
    <x v="5"/>
    <x v="0"/>
    <x v="3"/>
    <d v="1899-12-30T10:30:00"/>
    <x v="390"/>
    <x v="2"/>
    <s v="Kukatpally"/>
    <x v="3"/>
    <s v="Bakery"/>
    <x v="4"/>
    <n v="54"/>
    <n v="108"/>
    <x v="1"/>
    <x v="210"/>
    <x v="3"/>
    <n v="21"/>
    <x v="1"/>
    <n v="3"/>
  </r>
  <r>
    <x v="391"/>
    <x v="7"/>
    <n v="7"/>
    <n v="1"/>
    <n v="2025"/>
    <s v="Jan"/>
    <x v="5"/>
    <x v="0"/>
    <x v="2"/>
    <d v="1899-12-30T18:45:00"/>
    <x v="391"/>
    <x v="2"/>
    <s v="Hinjewadi"/>
    <x v="2"/>
    <s v="Dairy"/>
    <x v="3"/>
    <n v="71"/>
    <n v="284"/>
    <x v="1"/>
    <x v="256"/>
    <x v="1"/>
    <n v="34"/>
    <x v="0"/>
    <n v="0"/>
  </r>
  <r>
    <x v="392"/>
    <x v="4"/>
    <n v="9"/>
    <n v="1"/>
    <n v="2025"/>
    <s v="Jan"/>
    <x v="2"/>
    <x v="0"/>
    <x v="1"/>
    <d v="1899-12-30T09:05:00"/>
    <x v="392"/>
    <x v="4"/>
    <s v="Andheri"/>
    <x v="3"/>
    <s v="Bakery"/>
    <x v="0"/>
    <n v="111"/>
    <n v="111"/>
    <x v="2"/>
    <x v="152"/>
    <x v="1"/>
    <n v="18"/>
    <x v="0"/>
    <n v="0"/>
  </r>
  <r>
    <x v="393"/>
    <x v="10"/>
    <n v="5"/>
    <n v="1"/>
    <n v="2025"/>
    <s v="Jan"/>
    <x v="6"/>
    <x v="1"/>
    <x v="0"/>
    <d v="1899-12-30T18:15:00"/>
    <x v="393"/>
    <x v="0"/>
    <s v="Rohini"/>
    <x v="2"/>
    <s v="Dairy"/>
    <x v="2"/>
    <n v="105"/>
    <n v="525"/>
    <x v="0"/>
    <x v="257"/>
    <x v="1"/>
    <n v="35"/>
    <x v="0"/>
    <n v="5"/>
  </r>
  <r>
    <x v="394"/>
    <x v="0"/>
    <n v="8"/>
    <n v="1"/>
    <n v="2025"/>
    <s v="Jan"/>
    <x v="0"/>
    <x v="0"/>
    <x v="3"/>
    <d v="1899-12-30T10:30:00"/>
    <x v="394"/>
    <x v="2"/>
    <s v="Gachibowli"/>
    <x v="5"/>
    <s v="Dairy"/>
    <x v="5"/>
    <n v="35"/>
    <n v="105"/>
    <x v="0"/>
    <x v="23"/>
    <x v="3"/>
    <n v="16"/>
    <x v="1"/>
    <n v="1"/>
  </r>
  <r>
    <x v="395"/>
    <x v="2"/>
    <n v="2"/>
    <n v="1"/>
    <n v="2025"/>
    <s v="Jan"/>
    <x v="2"/>
    <x v="0"/>
    <x v="1"/>
    <d v="1899-12-30T09:05:00"/>
    <x v="395"/>
    <x v="5"/>
    <s v="Velachery"/>
    <x v="5"/>
    <s v="Dairy"/>
    <x v="2"/>
    <n v="106"/>
    <n v="530"/>
    <x v="1"/>
    <x v="173"/>
    <x v="1"/>
    <n v="59"/>
    <x v="0"/>
    <n v="3"/>
  </r>
  <r>
    <x v="396"/>
    <x v="1"/>
    <n v="6"/>
    <n v="1"/>
    <n v="2025"/>
    <s v="Jan"/>
    <x v="1"/>
    <x v="0"/>
    <x v="0"/>
    <d v="1899-12-30T18:15:00"/>
    <x v="396"/>
    <x v="0"/>
    <s v="Rohini"/>
    <x v="8"/>
    <s v="Snacks"/>
    <x v="1"/>
    <n v="51"/>
    <n v="306"/>
    <x v="2"/>
    <x v="218"/>
    <x v="1"/>
    <n v="11"/>
    <x v="0"/>
    <n v="4"/>
  </r>
  <r>
    <x v="397"/>
    <x v="6"/>
    <n v="4"/>
    <n v="1"/>
    <n v="2025"/>
    <s v="Jan"/>
    <x v="3"/>
    <x v="1"/>
    <x v="3"/>
    <d v="1899-12-30T10:30:00"/>
    <x v="397"/>
    <x v="4"/>
    <s v="Andheri"/>
    <x v="6"/>
    <s v="Vegetables"/>
    <x v="1"/>
    <n v="119"/>
    <n v="714"/>
    <x v="1"/>
    <x v="258"/>
    <x v="3"/>
    <n v="10"/>
    <x v="0"/>
    <n v="1"/>
  </r>
  <r>
    <x v="398"/>
    <x v="5"/>
    <n v="10"/>
    <n v="1"/>
    <n v="2025"/>
    <s v="Jan"/>
    <x v="4"/>
    <x v="0"/>
    <x v="3"/>
    <d v="1899-12-30T10:30:00"/>
    <x v="398"/>
    <x v="2"/>
    <s v="Velachery"/>
    <x v="3"/>
    <s v="Bakery"/>
    <x v="5"/>
    <n v="22"/>
    <n v="66"/>
    <x v="2"/>
    <x v="144"/>
    <x v="1"/>
    <n v="15"/>
    <x v="0"/>
    <n v="5"/>
  </r>
  <r>
    <x v="399"/>
    <x v="1"/>
    <n v="6"/>
    <n v="1"/>
    <n v="2025"/>
    <s v="Jan"/>
    <x v="1"/>
    <x v="0"/>
    <x v="3"/>
    <d v="1899-12-30T10:30:00"/>
    <x v="399"/>
    <x v="0"/>
    <s v="Gachibowli"/>
    <x v="6"/>
    <s v="Vegetables"/>
    <x v="3"/>
    <n v="11"/>
    <n v="44"/>
    <x v="1"/>
    <x v="109"/>
    <x v="2"/>
    <n v="41"/>
    <x v="0"/>
    <n v="5"/>
  </r>
  <r>
    <x v="400"/>
    <x v="8"/>
    <n v="3"/>
    <n v="1"/>
    <n v="2025"/>
    <s v="Jan"/>
    <x v="4"/>
    <x v="0"/>
    <x v="3"/>
    <d v="1899-12-30T10:30:00"/>
    <x v="400"/>
    <x v="4"/>
    <s v="Whitefield"/>
    <x v="8"/>
    <s v="Snacks"/>
    <x v="2"/>
    <n v="88"/>
    <n v="440"/>
    <x v="1"/>
    <x v="241"/>
    <x v="0"/>
    <n v="33"/>
    <x v="0"/>
    <n v="5"/>
  </r>
  <r>
    <x v="401"/>
    <x v="6"/>
    <n v="4"/>
    <n v="1"/>
    <n v="2025"/>
    <s v="Jan"/>
    <x v="3"/>
    <x v="1"/>
    <x v="2"/>
    <d v="1899-12-30T18:45:00"/>
    <x v="401"/>
    <x v="6"/>
    <s v="Kukatpally"/>
    <x v="1"/>
    <s v="Fruits"/>
    <x v="0"/>
    <n v="75"/>
    <n v="75"/>
    <x v="1"/>
    <x v="85"/>
    <x v="3"/>
    <n v="17"/>
    <x v="0"/>
    <n v="0"/>
  </r>
  <r>
    <x v="402"/>
    <x v="6"/>
    <n v="4"/>
    <n v="1"/>
    <n v="2025"/>
    <s v="Jan"/>
    <x v="3"/>
    <x v="1"/>
    <x v="0"/>
    <d v="1899-12-30T18:15:00"/>
    <x v="402"/>
    <x v="4"/>
    <s v="Gachibowli"/>
    <x v="1"/>
    <s v="Fruits"/>
    <x v="2"/>
    <n v="58"/>
    <n v="290"/>
    <x v="1"/>
    <x v="259"/>
    <x v="0"/>
    <n v="29"/>
    <x v="1"/>
    <n v="4"/>
  </r>
  <r>
    <x v="403"/>
    <x v="0"/>
    <n v="8"/>
    <n v="1"/>
    <n v="2025"/>
    <s v="Jan"/>
    <x v="0"/>
    <x v="0"/>
    <x v="0"/>
    <d v="1899-12-30T18:15:00"/>
    <x v="403"/>
    <x v="1"/>
    <s v="Rohini"/>
    <x v="3"/>
    <s v="Bakery"/>
    <x v="4"/>
    <n v="10"/>
    <n v="20"/>
    <x v="0"/>
    <x v="129"/>
    <x v="3"/>
    <n v="52"/>
    <x v="0"/>
    <n v="0"/>
  </r>
  <r>
    <x v="404"/>
    <x v="9"/>
    <n v="1"/>
    <n v="1"/>
    <n v="2025"/>
    <s v="Jan"/>
    <x v="0"/>
    <x v="0"/>
    <x v="3"/>
    <d v="1899-12-30T10:30:00"/>
    <x v="404"/>
    <x v="1"/>
    <s v="Whitefield"/>
    <x v="3"/>
    <s v="Bakery"/>
    <x v="2"/>
    <n v="30"/>
    <n v="150"/>
    <x v="1"/>
    <x v="71"/>
    <x v="2"/>
    <n v="15"/>
    <x v="1"/>
    <n v="5"/>
  </r>
  <r>
    <x v="405"/>
    <x v="7"/>
    <n v="7"/>
    <n v="1"/>
    <n v="2025"/>
    <s v="Jan"/>
    <x v="5"/>
    <x v="0"/>
    <x v="1"/>
    <d v="1899-12-30T09:05:00"/>
    <x v="405"/>
    <x v="5"/>
    <s v="Velachery"/>
    <x v="5"/>
    <s v="Dairy"/>
    <x v="3"/>
    <n v="84"/>
    <n v="336"/>
    <x v="2"/>
    <x v="226"/>
    <x v="0"/>
    <n v="52"/>
    <x v="1"/>
    <n v="5"/>
  </r>
  <r>
    <x v="406"/>
    <x v="1"/>
    <n v="6"/>
    <n v="1"/>
    <n v="2025"/>
    <s v="Jan"/>
    <x v="1"/>
    <x v="0"/>
    <x v="2"/>
    <d v="1899-12-30T18:45:00"/>
    <x v="406"/>
    <x v="2"/>
    <s v="Dwarka"/>
    <x v="0"/>
    <s v="Dairy"/>
    <x v="0"/>
    <n v="22"/>
    <n v="22"/>
    <x v="2"/>
    <x v="260"/>
    <x v="0"/>
    <n v="46"/>
    <x v="1"/>
    <n v="5"/>
  </r>
  <r>
    <x v="407"/>
    <x v="7"/>
    <n v="7"/>
    <n v="1"/>
    <n v="2025"/>
    <s v="Jan"/>
    <x v="5"/>
    <x v="0"/>
    <x v="1"/>
    <d v="1899-12-30T09:05:00"/>
    <x v="407"/>
    <x v="0"/>
    <s v="Velachery"/>
    <x v="7"/>
    <s v="Grocery"/>
    <x v="1"/>
    <n v="74"/>
    <n v="444"/>
    <x v="2"/>
    <x v="170"/>
    <x v="1"/>
    <n v="26"/>
    <x v="0"/>
    <n v="3"/>
  </r>
  <r>
    <x v="408"/>
    <x v="3"/>
    <n v="11"/>
    <n v="1"/>
    <n v="2025"/>
    <s v="Jan"/>
    <x v="3"/>
    <x v="1"/>
    <x v="0"/>
    <d v="1899-12-30T18:15:00"/>
    <x v="408"/>
    <x v="5"/>
    <s v="Hinjewadi"/>
    <x v="8"/>
    <s v="Snacks"/>
    <x v="2"/>
    <n v="46"/>
    <n v="230"/>
    <x v="2"/>
    <x v="261"/>
    <x v="0"/>
    <n v="54"/>
    <x v="1"/>
    <n v="4"/>
  </r>
  <r>
    <x v="409"/>
    <x v="2"/>
    <n v="2"/>
    <n v="1"/>
    <n v="2025"/>
    <s v="Jan"/>
    <x v="2"/>
    <x v="0"/>
    <x v="0"/>
    <d v="1899-12-30T18:15:00"/>
    <x v="409"/>
    <x v="0"/>
    <s v="Velachery"/>
    <x v="1"/>
    <s v="Fruits"/>
    <x v="3"/>
    <n v="63"/>
    <n v="252"/>
    <x v="0"/>
    <x v="262"/>
    <x v="1"/>
    <n v="52"/>
    <x v="0"/>
    <n v="2"/>
  </r>
  <r>
    <x v="410"/>
    <x v="3"/>
    <n v="11"/>
    <n v="1"/>
    <n v="2025"/>
    <s v="Jan"/>
    <x v="3"/>
    <x v="1"/>
    <x v="1"/>
    <d v="1899-12-30T09:05:00"/>
    <x v="410"/>
    <x v="0"/>
    <s v="Kukatpally"/>
    <x v="1"/>
    <s v="Fruits"/>
    <x v="2"/>
    <n v="86"/>
    <n v="430"/>
    <x v="1"/>
    <x v="263"/>
    <x v="1"/>
    <n v="45"/>
    <x v="0"/>
    <n v="1"/>
  </r>
  <r>
    <x v="411"/>
    <x v="2"/>
    <n v="2"/>
    <n v="1"/>
    <n v="2025"/>
    <s v="Jan"/>
    <x v="2"/>
    <x v="0"/>
    <x v="3"/>
    <d v="1899-12-30T10:30:00"/>
    <x v="411"/>
    <x v="3"/>
    <s v="Andheri"/>
    <x v="2"/>
    <s v="Dairy"/>
    <x v="4"/>
    <n v="82"/>
    <n v="164"/>
    <x v="2"/>
    <x v="264"/>
    <x v="1"/>
    <n v="51"/>
    <x v="1"/>
    <n v="0"/>
  </r>
  <r>
    <x v="412"/>
    <x v="0"/>
    <n v="8"/>
    <n v="1"/>
    <n v="2025"/>
    <s v="Jan"/>
    <x v="0"/>
    <x v="0"/>
    <x v="3"/>
    <d v="1899-12-30T10:30:00"/>
    <x v="412"/>
    <x v="3"/>
    <s v="Whitefield"/>
    <x v="2"/>
    <s v="Dairy"/>
    <x v="1"/>
    <n v="51"/>
    <n v="306"/>
    <x v="0"/>
    <x v="222"/>
    <x v="3"/>
    <n v="18"/>
    <x v="1"/>
    <n v="2"/>
  </r>
  <r>
    <x v="413"/>
    <x v="8"/>
    <n v="3"/>
    <n v="1"/>
    <n v="2025"/>
    <s v="Jan"/>
    <x v="4"/>
    <x v="0"/>
    <x v="0"/>
    <d v="1899-12-30T18:15:00"/>
    <x v="413"/>
    <x v="1"/>
    <s v="Gachibowli"/>
    <x v="2"/>
    <s v="Dairy"/>
    <x v="2"/>
    <n v="111"/>
    <n v="555"/>
    <x v="0"/>
    <x v="265"/>
    <x v="1"/>
    <n v="42"/>
    <x v="1"/>
    <n v="1"/>
  </r>
  <r>
    <x v="414"/>
    <x v="0"/>
    <n v="8"/>
    <n v="1"/>
    <n v="2025"/>
    <s v="Jan"/>
    <x v="0"/>
    <x v="0"/>
    <x v="0"/>
    <d v="1899-12-30T18:15:00"/>
    <x v="414"/>
    <x v="1"/>
    <s v="Whitefield"/>
    <x v="1"/>
    <s v="Fruits"/>
    <x v="1"/>
    <n v="58"/>
    <n v="348"/>
    <x v="1"/>
    <x v="266"/>
    <x v="1"/>
    <n v="54"/>
    <x v="0"/>
    <n v="0"/>
  </r>
  <r>
    <x v="415"/>
    <x v="10"/>
    <n v="5"/>
    <n v="1"/>
    <n v="2025"/>
    <s v="Jan"/>
    <x v="6"/>
    <x v="1"/>
    <x v="1"/>
    <d v="1899-12-30T09:05:00"/>
    <x v="415"/>
    <x v="6"/>
    <s v="Whitefield"/>
    <x v="7"/>
    <s v="Grocery"/>
    <x v="0"/>
    <n v="11"/>
    <n v="11"/>
    <x v="0"/>
    <x v="267"/>
    <x v="1"/>
    <n v="21"/>
    <x v="1"/>
    <n v="4"/>
  </r>
  <r>
    <x v="416"/>
    <x v="7"/>
    <n v="7"/>
    <n v="1"/>
    <n v="2025"/>
    <s v="Jan"/>
    <x v="5"/>
    <x v="0"/>
    <x v="0"/>
    <d v="1899-12-30T18:15:00"/>
    <x v="416"/>
    <x v="5"/>
    <s v="Rohini"/>
    <x v="6"/>
    <s v="Vegetables"/>
    <x v="4"/>
    <n v="63"/>
    <n v="126"/>
    <x v="0"/>
    <x v="188"/>
    <x v="3"/>
    <n v="55"/>
    <x v="1"/>
    <n v="0"/>
  </r>
  <r>
    <x v="417"/>
    <x v="7"/>
    <n v="7"/>
    <n v="1"/>
    <n v="2025"/>
    <s v="Jan"/>
    <x v="5"/>
    <x v="0"/>
    <x v="1"/>
    <d v="1899-12-30T09:05:00"/>
    <x v="417"/>
    <x v="0"/>
    <s v="Hinjewadi"/>
    <x v="5"/>
    <s v="Dairy"/>
    <x v="1"/>
    <n v="66"/>
    <n v="396"/>
    <x v="0"/>
    <x v="153"/>
    <x v="0"/>
    <n v="12"/>
    <x v="0"/>
    <n v="0"/>
  </r>
  <r>
    <x v="418"/>
    <x v="10"/>
    <n v="5"/>
    <n v="1"/>
    <n v="2025"/>
    <s v="Jan"/>
    <x v="6"/>
    <x v="1"/>
    <x v="2"/>
    <d v="1899-12-30T18:45:00"/>
    <x v="418"/>
    <x v="1"/>
    <s v="Andheri"/>
    <x v="0"/>
    <s v="Dairy"/>
    <x v="0"/>
    <n v="62"/>
    <n v="62"/>
    <x v="1"/>
    <x v="95"/>
    <x v="3"/>
    <n v="23"/>
    <x v="0"/>
    <n v="0"/>
  </r>
  <r>
    <x v="419"/>
    <x v="3"/>
    <n v="11"/>
    <n v="1"/>
    <n v="2025"/>
    <s v="Jan"/>
    <x v="3"/>
    <x v="1"/>
    <x v="2"/>
    <d v="1899-12-30T18:45:00"/>
    <x v="419"/>
    <x v="0"/>
    <s v="Hinjewadi"/>
    <x v="6"/>
    <s v="Vegetables"/>
    <x v="0"/>
    <n v="14"/>
    <n v="14"/>
    <x v="2"/>
    <x v="268"/>
    <x v="0"/>
    <n v="60"/>
    <x v="0"/>
    <n v="0"/>
  </r>
  <r>
    <x v="420"/>
    <x v="10"/>
    <n v="5"/>
    <n v="1"/>
    <n v="2025"/>
    <s v="Jan"/>
    <x v="6"/>
    <x v="1"/>
    <x v="0"/>
    <d v="1899-12-30T18:15:00"/>
    <x v="420"/>
    <x v="4"/>
    <s v="Rohini"/>
    <x v="2"/>
    <s v="Dairy"/>
    <x v="2"/>
    <n v="67"/>
    <n v="335"/>
    <x v="1"/>
    <x v="33"/>
    <x v="1"/>
    <n v="40"/>
    <x v="1"/>
    <n v="5"/>
  </r>
  <r>
    <x v="421"/>
    <x v="0"/>
    <n v="8"/>
    <n v="1"/>
    <n v="2025"/>
    <s v="Jan"/>
    <x v="0"/>
    <x v="0"/>
    <x v="3"/>
    <d v="1899-12-30T10:30:00"/>
    <x v="421"/>
    <x v="3"/>
    <s v="Velachery"/>
    <x v="2"/>
    <s v="Dairy"/>
    <x v="5"/>
    <n v="93"/>
    <n v="279"/>
    <x v="1"/>
    <x v="269"/>
    <x v="0"/>
    <n v="16"/>
    <x v="0"/>
    <n v="0"/>
  </r>
  <r>
    <x v="422"/>
    <x v="5"/>
    <n v="10"/>
    <n v="1"/>
    <n v="2025"/>
    <s v="Jan"/>
    <x v="4"/>
    <x v="0"/>
    <x v="1"/>
    <d v="1899-12-30T09:05:00"/>
    <x v="422"/>
    <x v="0"/>
    <s v="Dwarka"/>
    <x v="4"/>
    <s v="Fruits"/>
    <x v="1"/>
    <n v="32"/>
    <n v="192"/>
    <x v="2"/>
    <x v="270"/>
    <x v="2"/>
    <n v="36"/>
    <x v="0"/>
    <n v="5"/>
  </r>
  <r>
    <x v="423"/>
    <x v="1"/>
    <n v="6"/>
    <n v="1"/>
    <n v="2025"/>
    <s v="Jan"/>
    <x v="1"/>
    <x v="0"/>
    <x v="1"/>
    <d v="1899-12-30T09:05:00"/>
    <x v="423"/>
    <x v="3"/>
    <s v="Gachibowli"/>
    <x v="5"/>
    <s v="Dairy"/>
    <x v="5"/>
    <n v="46"/>
    <n v="138"/>
    <x v="1"/>
    <x v="145"/>
    <x v="0"/>
    <n v="11"/>
    <x v="0"/>
    <n v="1"/>
  </r>
  <r>
    <x v="424"/>
    <x v="0"/>
    <n v="8"/>
    <n v="1"/>
    <n v="2025"/>
    <s v="Jan"/>
    <x v="0"/>
    <x v="0"/>
    <x v="1"/>
    <d v="1899-12-30T09:05:00"/>
    <x v="424"/>
    <x v="1"/>
    <s v="Rohini"/>
    <x v="2"/>
    <s v="Dairy"/>
    <x v="5"/>
    <n v="120"/>
    <n v="360"/>
    <x v="1"/>
    <x v="180"/>
    <x v="3"/>
    <n v="10"/>
    <x v="0"/>
    <n v="4"/>
  </r>
  <r>
    <x v="425"/>
    <x v="10"/>
    <n v="5"/>
    <n v="1"/>
    <n v="2025"/>
    <s v="Jan"/>
    <x v="6"/>
    <x v="1"/>
    <x v="3"/>
    <d v="1899-12-30T10:30:00"/>
    <x v="425"/>
    <x v="1"/>
    <s v="Hinjewadi"/>
    <x v="0"/>
    <s v="Dairy"/>
    <x v="0"/>
    <n v="63"/>
    <n v="63"/>
    <x v="2"/>
    <x v="237"/>
    <x v="1"/>
    <n v="14"/>
    <x v="1"/>
    <n v="5"/>
  </r>
  <r>
    <x v="426"/>
    <x v="3"/>
    <n v="11"/>
    <n v="1"/>
    <n v="2025"/>
    <s v="Jan"/>
    <x v="3"/>
    <x v="1"/>
    <x v="0"/>
    <d v="1899-12-30T18:15:00"/>
    <x v="426"/>
    <x v="6"/>
    <s v="Kukatpally"/>
    <x v="8"/>
    <s v="Snacks"/>
    <x v="3"/>
    <n v="55"/>
    <n v="220"/>
    <x v="0"/>
    <x v="32"/>
    <x v="3"/>
    <n v="41"/>
    <x v="0"/>
    <n v="2"/>
  </r>
  <r>
    <x v="427"/>
    <x v="3"/>
    <n v="11"/>
    <n v="1"/>
    <n v="2025"/>
    <s v="Jan"/>
    <x v="3"/>
    <x v="1"/>
    <x v="1"/>
    <d v="1899-12-30T09:05:00"/>
    <x v="427"/>
    <x v="2"/>
    <s v="Hinjewadi"/>
    <x v="4"/>
    <s v="Fruits"/>
    <x v="5"/>
    <n v="94"/>
    <n v="282"/>
    <x v="1"/>
    <x v="271"/>
    <x v="0"/>
    <n v="18"/>
    <x v="0"/>
    <n v="5"/>
  </r>
  <r>
    <x v="428"/>
    <x v="0"/>
    <n v="8"/>
    <n v="1"/>
    <n v="2025"/>
    <s v="Jan"/>
    <x v="0"/>
    <x v="0"/>
    <x v="1"/>
    <d v="1899-12-30T09:05:00"/>
    <x v="428"/>
    <x v="1"/>
    <s v="Dwarka"/>
    <x v="8"/>
    <s v="Snacks"/>
    <x v="2"/>
    <n v="56"/>
    <n v="280"/>
    <x v="0"/>
    <x v="272"/>
    <x v="2"/>
    <n v="12"/>
    <x v="0"/>
    <n v="3"/>
  </r>
  <r>
    <x v="429"/>
    <x v="0"/>
    <n v="8"/>
    <n v="1"/>
    <n v="2025"/>
    <s v="Jan"/>
    <x v="0"/>
    <x v="0"/>
    <x v="0"/>
    <d v="1899-12-30T18:15:00"/>
    <x v="429"/>
    <x v="0"/>
    <s v="Whitefield"/>
    <x v="3"/>
    <s v="Bakery"/>
    <x v="4"/>
    <n v="41"/>
    <n v="82"/>
    <x v="1"/>
    <x v="52"/>
    <x v="2"/>
    <n v="15"/>
    <x v="0"/>
    <n v="4"/>
  </r>
  <r>
    <x v="430"/>
    <x v="4"/>
    <n v="9"/>
    <n v="1"/>
    <n v="2025"/>
    <s v="Jan"/>
    <x v="2"/>
    <x v="0"/>
    <x v="1"/>
    <d v="1899-12-30T09:05:00"/>
    <x v="430"/>
    <x v="3"/>
    <s v="Whitefield"/>
    <x v="7"/>
    <s v="Grocery"/>
    <x v="1"/>
    <n v="28"/>
    <n v="168"/>
    <x v="2"/>
    <x v="121"/>
    <x v="3"/>
    <n v="47"/>
    <x v="0"/>
    <n v="2"/>
  </r>
  <r>
    <x v="431"/>
    <x v="2"/>
    <n v="2"/>
    <n v="1"/>
    <n v="2025"/>
    <s v="Jan"/>
    <x v="2"/>
    <x v="0"/>
    <x v="1"/>
    <d v="1899-12-30T09:05:00"/>
    <x v="431"/>
    <x v="1"/>
    <s v="Andheri"/>
    <x v="1"/>
    <s v="Fruits"/>
    <x v="0"/>
    <n v="57"/>
    <n v="57"/>
    <x v="2"/>
    <x v="6"/>
    <x v="0"/>
    <n v="32"/>
    <x v="0"/>
    <n v="5"/>
  </r>
  <r>
    <x v="432"/>
    <x v="3"/>
    <n v="11"/>
    <n v="1"/>
    <n v="2025"/>
    <s v="Jan"/>
    <x v="3"/>
    <x v="1"/>
    <x v="1"/>
    <d v="1899-12-30T09:05:00"/>
    <x v="432"/>
    <x v="5"/>
    <s v="Kukatpally"/>
    <x v="2"/>
    <s v="Dairy"/>
    <x v="0"/>
    <n v="22"/>
    <n v="22"/>
    <x v="0"/>
    <x v="205"/>
    <x v="2"/>
    <n v="50"/>
    <x v="1"/>
    <n v="5"/>
  </r>
  <r>
    <x v="433"/>
    <x v="8"/>
    <n v="3"/>
    <n v="1"/>
    <n v="2025"/>
    <s v="Jan"/>
    <x v="4"/>
    <x v="0"/>
    <x v="2"/>
    <d v="1899-12-30T18:45:00"/>
    <x v="433"/>
    <x v="2"/>
    <s v="Velachery"/>
    <x v="7"/>
    <s v="Grocery"/>
    <x v="3"/>
    <n v="16"/>
    <n v="64"/>
    <x v="1"/>
    <x v="28"/>
    <x v="0"/>
    <n v="55"/>
    <x v="1"/>
    <n v="2"/>
  </r>
  <r>
    <x v="434"/>
    <x v="4"/>
    <n v="9"/>
    <n v="1"/>
    <n v="2025"/>
    <s v="Jan"/>
    <x v="2"/>
    <x v="0"/>
    <x v="3"/>
    <d v="1899-12-30T10:30:00"/>
    <x v="434"/>
    <x v="1"/>
    <s v="Andheri"/>
    <x v="5"/>
    <s v="Dairy"/>
    <x v="2"/>
    <n v="65"/>
    <n v="325"/>
    <x v="1"/>
    <x v="273"/>
    <x v="3"/>
    <n v="56"/>
    <x v="0"/>
    <n v="2"/>
  </r>
  <r>
    <x v="435"/>
    <x v="3"/>
    <n v="11"/>
    <n v="1"/>
    <n v="2025"/>
    <s v="Jan"/>
    <x v="3"/>
    <x v="1"/>
    <x v="3"/>
    <d v="1899-12-30T10:30:00"/>
    <x v="435"/>
    <x v="2"/>
    <s v="Kukatpally"/>
    <x v="2"/>
    <s v="Dairy"/>
    <x v="1"/>
    <n v="65"/>
    <n v="390"/>
    <x v="2"/>
    <x v="274"/>
    <x v="1"/>
    <n v="14"/>
    <x v="0"/>
    <n v="0"/>
  </r>
  <r>
    <x v="436"/>
    <x v="1"/>
    <n v="6"/>
    <n v="1"/>
    <n v="2025"/>
    <s v="Jan"/>
    <x v="1"/>
    <x v="0"/>
    <x v="3"/>
    <d v="1899-12-30T10:30:00"/>
    <x v="436"/>
    <x v="3"/>
    <s v="Velachery"/>
    <x v="7"/>
    <s v="Grocery"/>
    <x v="0"/>
    <n v="73"/>
    <n v="73"/>
    <x v="1"/>
    <x v="275"/>
    <x v="1"/>
    <n v="41"/>
    <x v="0"/>
    <n v="1"/>
  </r>
  <r>
    <x v="437"/>
    <x v="1"/>
    <n v="6"/>
    <n v="1"/>
    <n v="2025"/>
    <s v="Jan"/>
    <x v="1"/>
    <x v="0"/>
    <x v="0"/>
    <d v="1899-12-30T18:15:00"/>
    <x v="437"/>
    <x v="4"/>
    <s v="Hinjewadi"/>
    <x v="7"/>
    <s v="Grocery"/>
    <x v="4"/>
    <n v="43"/>
    <n v="86"/>
    <x v="1"/>
    <x v="206"/>
    <x v="1"/>
    <n v="23"/>
    <x v="0"/>
    <n v="5"/>
  </r>
  <r>
    <x v="438"/>
    <x v="1"/>
    <n v="6"/>
    <n v="1"/>
    <n v="2025"/>
    <s v="Jan"/>
    <x v="1"/>
    <x v="0"/>
    <x v="2"/>
    <d v="1899-12-30T18:45:00"/>
    <x v="438"/>
    <x v="6"/>
    <s v="Velachery"/>
    <x v="5"/>
    <s v="Dairy"/>
    <x v="0"/>
    <n v="111"/>
    <n v="111"/>
    <x v="1"/>
    <x v="83"/>
    <x v="2"/>
    <n v="19"/>
    <x v="1"/>
    <n v="0"/>
  </r>
  <r>
    <x v="439"/>
    <x v="3"/>
    <n v="11"/>
    <n v="1"/>
    <n v="2025"/>
    <s v="Jan"/>
    <x v="3"/>
    <x v="1"/>
    <x v="0"/>
    <d v="1899-12-30T18:15:00"/>
    <x v="439"/>
    <x v="3"/>
    <s v="Dwarka"/>
    <x v="6"/>
    <s v="Vegetables"/>
    <x v="3"/>
    <n v="51"/>
    <n v="204"/>
    <x v="1"/>
    <x v="116"/>
    <x v="1"/>
    <n v="54"/>
    <x v="1"/>
    <n v="0"/>
  </r>
  <r>
    <x v="440"/>
    <x v="1"/>
    <n v="6"/>
    <n v="1"/>
    <n v="2025"/>
    <s v="Jan"/>
    <x v="1"/>
    <x v="0"/>
    <x v="0"/>
    <d v="1899-12-30T18:15:00"/>
    <x v="440"/>
    <x v="6"/>
    <s v="Velachery"/>
    <x v="2"/>
    <s v="Dairy"/>
    <x v="1"/>
    <n v="119"/>
    <n v="714"/>
    <x v="1"/>
    <x v="258"/>
    <x v="0"/>
    <n v="59"/>
    <x v="0"/>
    <n v="1"/>
  </r>
  <r>
    <x v="441"/>
    <x v="8"/>
    <n v="3"/>
    <n v="1"/>
    <n v="2025"/>
    <s v="Jan"/>
    <x v="4"/>
    <x v="0"/>
    <x v="0"/>
    <d v="1899-12-30T18:15:00"/>
    <x v="441"/>
    <x v="3"/>
    <s v="Dwarka"/>
    <x v="6"/>
    <s v="Vegetables"/>
    <x v="0"/>
    <n v="67"/>
    <n v="67"/>
    <x v="0"/>
    <x v="203"/>
    <x v="1"/>
    <n v="12"/>
    <x v="0"/>
    <n v="5"/>
  </r>
  <r>
    <x v="442"/>
    <x v="7"/>
    <n v="7"/>
    <n v="1"/>
    <n v="2025"/>
    <s v="Jan"/>
    <x v="5"/>
    <x v="0"/>
    <x v="3"/>
    <d v="1899-12-30T10:30:00"/>
    <x v="442"/>
    <x v="5"/>
    <s v="Whitefield"/>
    <x v="5"/>
    <s v="Dairy"/>
    <x v="2"/>
    <n v="94"/>
    <n v="470"/>
    <x v="1"/>
    <x v="276"/>
    <x v="3"/>
    <n v="49"/>
    <x v="0"/>
    <n v="1"/>
  </r>
  <r>
    <x v="443"/>
    <x v="4"/>
    <n v="9"/>
    <n v="1"/>
    <n v="2025"/>
    <s v="Jan"/>
    <x v="2"/>
    <x v="0"/>
    <x v="0"/>
    <d v="1899-12-30T18:15:00"/>
    <x v="443"/>
    <x v="1"/>
    <s v="Kukatpally"/>
    <x v="5"/>
    <s v="Dairy"/>
    <x v="4"/>
    <n v="42"/>
    <n v="84"/>
    <x v="0"/>
    <x v="135"/>
    <x v="2"/>
    <n v="45"/>
    <x v="1"/>
    <n v="4"/>
  </r>
  <r>
    <x v="444"/>
    <x v="9"/>
    <n v="1"/>
    <n v="1"/>
    <n v="2025"/>
    <s v="Jan"/>
    <x v="0"/>
    <x v="0"/>
    <x v="3"/>
    <d v="1899-12-30T10:30:00"/>
    <x v="444"/>
    <x v="1"/>
    <s v="Kukatpally"/>
    <x v="2"/>
    <s v="Dairy"/>
    <x v="0"/>
    <n v="108"/>
    <n v="108"/>
    <x v="2"/>
    <x v="172"/>
    <x v="1"/>
    <n v="16"/>
    <x v="0"/>
    <n v="5"/>
  </r>
  <r>
    <x v="445"/>
    <x v="8"/>
    <n v="3"/>
    <n v="1"/>
    <n v="2025"/>
    <s v="Jan"/>
    <x v="4"/>
    <x v="0"/>
    <x v="1"/>
    <d v="1899-12-30T09:05:00"/>
    <x v="445"/>
    <x v="2"/>
    <s v="Kukatpally"/>
    <x v="0"/>
    <s v="Dairy"/>
    <x v="0"/>
    <n v="100"/>
    <n v="100"/>
    <x v="0"/>
    <x v="24"/>
    <x v="2"/>
    <n v="57"/>
    <x v="0"/>
    <n v="0"/>
  </r>
  <r>
    <x v="446"/>
    <x v="4"/>
    <n v="9"/>
    <n v="1"/>
    <n v="2025"/>
    <s v="Jan"/>
    <x v="2"/>
    <x v="0"/>
    <x v="1"/>
    <d v="1899-12-30T09:05:00"/>
    <x v="446"/>
    <x v="2"/>
    <s v="Rohini"/>
    <x v="7"/>
    <s v="Grocery"/>
    <x v="5"/>
    <n v="56"/>
    <n v="178"/>
    <x v="0"/>
    <x v="277"/>
    <x v="2"/>
    <n v="12"/>
    <x v="1"/>
    <n v="4"/>
  </r>
  <r>
    <x v="447"/>
    <x v="6"/>
    <n v="4"/>
    <n v="1"/>
    <n v="2025"/>
    <s v="Jan"/>
    <x v="3"/>
    <x v="1"/>
    <x v="3"/>
    <d v="1899-12-30T10:30:00"/>
    <x v="447"/>
    <x v="3"/>
    <s v="Andheri"/>
    <x v="7"/>
    <s v="Grocery"/>
    <x v="2"/>
    <n v="99"/>
    <n v="495"/>
    <x v="1"/>
    <x v="278"/>
    <x v="1"/>
    <n v="17"/>
    <x v="1"/>
    <n v="4"/>
  </r>
  <r>
    <x v="448"/>
    <x v="5"/>
    <n v="10"/>
    <n v="1"/>
    <n v="2025"/>
    <s v="Jan"/>
    <x v="4"/>
    <x v="0"/>
    <x v="2"/>
    <d v="1899-12-30T18:45:00"/>
    <x v="448"/>
    <x v="1"/>
    <s v="Gachibowli"/>
    <x v="5"/>
    <s v="Dairy"/>
    <x v="2"/>
    <n v="114"/>
    <n v="570"/>
    <x v="0"/>
    <x v="26"/>
    <x v="3"/>
    <n v="29"/>
    <x v="1"/>
    <n v="2"/>
  </r>
  <r>
    <x v="449"/>
    <x v="1"/>
    <n v="6"/>
    <n v="1"/>
    <n v="2025"/>
    <s v="Jan"/>
    <x v="1"/>
    <x v="0"/>
    <x v="1"/>
    <d v="1899-12-30T09:05:00"/>
    <x v="449"/>
    <x v="0"/>
    <s v="Gachibowli"/>
    <x v="8"/>
    <s v="Snacks"/>
    <x v="5"/>
    <n v="77"/>
    <n v="231"/>
    <x v="2"/>
    <x v="279"/>
    <x v="0"/>
    <n v="52"/>
    <x v="0"/>
    <n v="0"/>
  </r>
  <r>
    <x v="450"/>
    <x v="8"/>
    <n v="3"/>
    <n v="1"/>
    <n v="2025"/>
    <s v="Jan"/>
    <x v="4"/>
    <x v="0"/>
    <x v="3"/>
    <d v="1899-12-30T10:30:00"/>
    <x v="450"/>
    <x v="6"/>
    <s v="Hinjewadi"/>
    <x v="6"/>
    <s v="Vegetables"/>
    <x v="3"/>
    <n v="28"/>
    <n v="112"/>
    <x v="2"/>
    <x v="201"/>
    <x v="1"/>
    <n v="16"/>
    <x v="0"/>
    <n v="3"/>
  </r>
  <r>
    <x v="451"/>
    <x v="4"/>
    <n v="9"/>
    <n v="1"/>
    <n v="2025"/>
    <s v="Jan"/>
    <x v="2"/>
    <x v="0"/>
    <x v="3"/>
    <d v="1899-12-30T10:30:00"/>
    <x v="451"/>
    <x v="1"/>
    <s v="Kukatpally"/>
    <x v="1"/>
    <s v="Fruits"/>
    <x v="3"/>
    <n v="50"/>
    <n v="200"/>
    <x v="2"/>
    <x v="280"/>
    <x v="0"/>
    <n v="31"/>
    <x v="0"/>
    <n v="3"/>
  </r>
  <r>
    <x v="452"/>
    <x v="2"/>
    <n v="2"/>
    <n v="1"/>
    <n v="2025"/>
    <s v="Jan"/>
    <x v="2"/>
    <x v="0"/>
    <x v="2"/>
    <d v="1899-12-30T18:45:00"/>
    <x v="452"/>
    <x v="0"/>
    <s v="Kukatpally"/>
    <x v="0"/>
    <s v="Dairy"/>
    <x v="4"/>
    <n v="36"/>
    <n v="72"/>
    <x v="0"/>
    <x v="95"/>
    <x v="1"/>
    <n v="17"/>
    <x v="0"/>
    <n v="5"/>
  </r>
  <r>
    <x v="453"/>
    <x v="7"/>
    <n v="7"/>
    <n v="1"/>
    <n v="2025"/>
    <s v="Jan"/>
    <x v="5"/>
    <x v="0"/>
    <x v="3"/>
    <d v="1899-12-30T10:30:00"/>
    <x v="453"/>
    <x v="6"/>
    <s v="Gachibowli"/>
    <x v="0"/>
    <s v="Dairy"/>
    <x v="5"/>
    <n v="83"/>
    <n v="259"/>
    <x v="1"/>
    <x v="281"/>
    <x v="1"/>
    <n v="57"/>
    <x v="1"/>
    <n v="2"/>
  </r>
  <r>
    <x v="454"/>
    <x v="2"/>
    <n v="2"/>
    <n v="1"/>
    <n v="2025"/>
    <s v="Jan"/>
    <x v="2"/>
    <x v="0"/>
    <x v="1"/>
    <d v="1899-12-30T09:05:00"/>
    <x v="454"/>
    <x v="6"/>
    <s v="Velachery"/>
    <x v="6"/>
    <s v="Vegetables"/>
    <x v="3"/>
    <n v="77"/>
    <n v="308"/>
    <x v="1"/>
    <x v="282"/>
    <x v="1"/>
    <n v="40"/>
    <x v="1"/>
    <n v="2"/>
  </r>
  <r>
    <x v="455"/>
    <x v="2"/>
    <n v="2"/>
    <n v="1"/>
    <n v="2025"/>
    <s v="Jan"/>
    <x v="2"/>
    <x v="0"/>
    <x v="1"/>
    <d v="1899-12-30T09:05:00"/>
    <x v="455"/>
    <x v="0"/>
    <s v="Kukatpally"/>
    <x v="4"/>
    <s v="Fruits"/>
    <x v="1"/>
    <n v="36"/>
    <n v="216"/>
    <x v="1"/>
    <x v="137"/>
    <x v="1"/>
    <n v="42"/>
    <x v="0"/>
    <n v="2"/>
  </r>
  <r>
    <x v="456"/>
    <x v="2"/>
    <n v="2"/>
    <n v="1"/>
    <n v="2025"/>
    <s v="Jan"/>
    <x v="2"/>
    <x v="0"/>
    <x v="1"/>
    <d v="1899-12-30T09:05:00"/>
    <x v="456"/>
    <x v="1"/>
    <s v="Dwarka"/>
    <x v="6"/>
    <s v="Vegetables"/>
    <x v="3"/>
    <n v="56"/>
    <n v="224"/>
    <x v="0"/>
    <x v="283"/>
    <x v="2"/>
    <n v="25"/>
    <x v="0"/>
    <n v="4"/>
  </r>
  <r>
    <x v="457"/>
    <x v="4"/>
    <n v="9"/>
    <n v="1"/>
    <n v="2025"/>
    <s v="Jan"/>
    <x v="2"/>
    <x v="0"/>
    <x v="1"/>
    <d v="1899-12-30T09:05:00"/>
    <x v="457"/>
    <x v="3"/>
    <s v="Gachibowli"/>
    <x v="2"/>
    <s v="Dairy"/>
    <x v="5"/>
    <n v="110"/>
    <n v="330"/>
    <x v="0"/>
    <x v="94"/>
    <x v="3"/>
    <n v="56"/>
    <x v="0"/>
    <n v="2"/>
  </r>
  <r>
    <x v="458"/>
    <x v="4"/>
    <n v="9"/>
    <n v="1"/>
    <n v="2025"/>
    <s v="Jan"/>
    <x v="2"/>
    <x v="0"/>
    <x v="1"/>
    <d v="1899-12-30T09:05:00"/>
    <x v="458"/>
    <x v="0"/>
    <s v="Kukatpally"/>
    <x v="5"/>
    <s v="Dairy"/>
    <x v="3"/>
    <n v="106"/>
    <n v="424"/>
    <x v="0"/>
    <x v="284"/>
    <x v="3"/>
    <n v="45"/>
    <x v="1"/>
    <n v="0"/>
  </r>
  <r>
    <x v="459"/>
    <x v="1"/>
    <n v="6"/>
    <n v="1"/>
    <n v="2025"/>
    <s v="Jan"/>
    <x v="1"/>
    <x v="0"/>
    <x v="1"/>
    <d v="1899-12-30T09:05:00"/>
    <x v="459"/>
    <x v="6"/>
    <s v="Whitefield"/>
    <x v="0"/>
    <s v="Dairy"/>
    <x v="2"/>
    <n v="60"/>
    <n v="300"/>
    <x v="0"/>
    <x v="259"/>
    <x v="3"/>
    <n v="53"/>
    <x v="1"/>
    <n v="3"/>
  </r>
  <r>
    <x v="460"/>
    <x v="0"/>
    <n v="8"/>
    <n v="1"/>
    <n v="2025"/>
    <s v="Jan"/>
    <x v="0"/>
    <x v="0"/>
    <x v="1"/>
    <d v="1899-12-30T09:05:00"/>
    <x v="460"/>
    <x v="3"/>
    <s v="Andheri"/>
    <x v="8"/>
    <s v="Snacks"/>
    <x v="3"/>
    <n v="44"/>
    <n v="176"/>
    <x v="1"/>
    <x v="285"/>
    <x v="3"/>
    <n v="54"/>
    <x v="0"/>
    <n v="4"/>
  </r>
  <r>
    <x v="461"/>
    <x v="10"/>
    <n v="5"/>
    <n v="1"/>
    <n v="2025"/>
    <s v="Jan"/>
    <x v="6"/>
    <x v="1"/>
    <x v="1"/>
    <d v="1899-12-30T09:05:00"/>
    <x v="461"/>
    <x v="2"/>
    <s v="Hinjewadi"/>
    <x v="3"/>
    <s v="Bakery"/>
    <x v="1"/>
    <n v="85"/>
    <n v="510"/>
    <x v="0"/>
    <x v="286"/>
    <x v="2"/>
    <n v="40"/>
    <x v="0"/>
    <n v="2"/>
  </r>
  <r>
    <x v="462"/>
    <x v="2"/>
    <n v="2"/>
    <n v="1"/>
    <n v="2025"/>
    <s v="Jan"/>
    <x v="2"/>
    <x v="0"/>
    <x v="3"/>
    <d v="1899-12-30T10:30:00"/>
    <x v="462"/>
    <x v="6"/>
    <s v="Dwarka"/>
    <x v="1"/>
    <s v="Fruits"/>
    <x v="5"/>
    <n v="41"/>
    <n v="123"/>
    <x v="1"/>
    <x v="186"/>
    <x v="1"/>
    <n v="15"/>
    <x v="0"/>
    <n v="0"/>
  </r>
  <r>
    <x v="463"/>
    <x v="6"/>
    <n v="4"/>
    <n v="1"/>
    <n v="2025"/>
    <s v="Jan"/>
    <x v="3"/>
    <x v="1"/>
    <x v="1"/>
    <d v="1899-12-30T09:05:00"/>
    <x v="463"/>
    <x v="4"/>
    <s v="Kukatpally"/>
    <x v="1"/>
    <s v="Fruits"/>
    <x v="1"/>
    <n v="102"/>
    <n v="612"/>
    <x v="1"/>
    <x v="287"/>
    <x v="0"/>
    <n v="58"/>
    <x v="0"/>
    <n v="2"/>
  </r>
  <r>
    <x v="464"/>
    <x v="9"/>
    <n v="1"/>
    <n v="1"/>
    <n v="2025"/>
    <s v="Jan"/>
    <x v="0"/>
    <x v="0"/>
    <x v="1"/>
    <d v="1899-12-30T09:05:00"/>
    <x v="464"/>
    <x v="0"/>
    <s v="Hinjewadi"/>
    <x v="8"/>
    <s v="Snacks"/>
    <x v="0"/>
    <n v="24"/>
    <n v="24"/>
    <x v="1"/>
    <x v="288"/>
    <x v="3"/>
    <n v="31"/>
    <x v="1"/>
    <n v="0"/>
  </r>
  <r>
    <x v="465"/>
    <x v="0"/>
    <n v="8"/>
    <n v="1"/>
    <n v="2025"/>
    <s v="Jan"/>
    <x v="0"/>
    <x v="0"/>
    <x v="0"/>
    <d v="1899-12-30T18:15:00"/>
    <x v="465"/>
    <x v="0"/>
    <s v="Whitefield"/>
    <x v="5"/>
    <s v="Dairy"/>
    <x v="3"/>
    <n v="14"/>
    <n v="56"/>
    <x v="2"/>
    <x v="289"/>
    <x v="0"/>
    <n v="59"/>
    <x v="1"/>
    <n v="5"/>
  </r>
  <r>
    <x v="466"/>
    <x v="2"/>
    <n v="2"/>
    <n v="1"/>
    <n v="2025"/>
    <s v="Jan"/>
    <x v="2"/>
    <x v="0"/>
    <x v="0"/>
    <d v="1899-12-30T18:15:00"/>
    <x v="466"/>
    <x v="0"/>
    <s v="Rohini"/>
    <x v="0"/>
    <s v="Dairy"/>
    <x v="5"/>
    <n v="17"/>
    <n v="51"/>
    <x v="2"/>
    <x v="290"/>
    <x v="2"/>
    <n v="21"/>
    <x v="1"/>
    <n v="2"/>
  </r>
  <r>
    <x v="467"/>
    <x v="3"/>
    <n v="11"/>
    <n v="1"/>
    <n v="2025"/>
    <s v="Jan"/>
    <x v="3"/>
    <x v="1"/>
    <x v="1"/>
    <d v="1899-12-30T09:05:00"/>
    <x v="467"/>
    <x v="0"/>
    <s v="Kukatpally"/>
    <x v="5"/>
    <s v="Dairy"/>
    <x v="0"/>
    <n v="116"/>
    <n v="116"/>
    <x v="1"/>
    <x v="188"/>
    <x v="2"/>
    <n v="15"/>
    <x v="1"/>
    <n v="3"/>
  </r>
  <r>
    <x v="468"/>
    <x v="6"/>
    <n v="4"/>
    <n v="1"/>
    <n v="2025"/>
    <s v="Jan"/>
    <x v="3"/>
    <x v="1"/>
    <x v="3"/>
    <d v="1899-12-30T10:30:00"/>
    <x v="468"/>
    <x v="4"/>
    <s v="Whitefield"/>
    <x v="1"/>
    <s v="Fruits"/>
    <x v="2"/>
    <n v="120"/>
    <n v="600"/>
    <x v="1"/>
    <x v="291"/>
    <x v="3"/>
    <n v="28"/>
    <x v="1"/>
    <n v="4"/>
  </r>
  <r>
    <x v="469"/>
    <x v="1"/>
    <n v="6"/>
    <n v="1"/>
    <n v="2025"/>
    <s v="Jan"/>
    <x v="1"/>
    <x v="0"/>
    <x v="1"/>
    <d v="1899-12-30T09:05:00"/>
    <x v="469"/>
    <x v="2"/>
    <s v="Rohini"/>
    <x v="8"/>
    <s v="Snacks"/>
    <x v="0"/>
    <n v="34"/>
    <n v="34"/>
    <x v="1"/>
    <x v="103"/>
    <x v="1"/>
    <n v="60"/>
    <x v="1"/>
    <n v="3"/>
  </r>
  <r>
    <x v="470"/>
    <x v="3"/>
    <n v="11"/>
    <n v="1"/>
    <n v="2025"/>
    <s v="Jan"/>
    <x v="3"/>
    <x v="1"/>
    <x v="3"/>
    <d v="1899-12-30T10:30:00"/>
    <x v="470"/>
    <x v="1"/>
    <s v="Rohini"/>
    <x v="6"/>
    <s v="Vegetables"/>
    <x v="3"/>
    <n v="90"/>
    <n v="360"/>
    <x v="0"/>
    <x v="292"/>
    <x v="1"/>
    <n v="25"/>
    <x v="0"/>
    <n v="5"/>
  </r>
  <r>
    <x v="471"/>
    <x v="5"/>
    <n v="10"/>
    <n v="1"/>
    <n v="2025"/>
    <s v="Jan"/>
    <x v="4"/>
    <x v="0"/>
    <x v="1"/>
    <d v="1899-12-30T09:05:00"/>
    <x v="471"/>
    <x v="6"/>
    <s v="Gachibowli"/>
    <x v="7"/>
    <s v="Grocery"/>
    <x v="4"/>
    <n v="118"/>
    <n v="236"/>
    <x v="2"/>
    <x v="63"/>
    <x v="1"/>
    <n v="22"/>
    <x v="0"/>
    <n v="5"/>
  </r>
  <r>
    <x v="472"/>
    <x v="8"/>
    <n v="3"/>
    <n v="1"/>
    <n v="2025"/>
    <s v="Jan"/>
    <x v="4"/>
    <x v="0"/>
    <x v="3"/>
    <d v="1899-12-30T10:30:00"/>
    <x v="472"/>
    <x v="1"/>
    <s v="Velachery"/>
    <x v="4"/>
    <s v="Fruits"/>
    <x v="5"/>
    <n v="120"/>
    <n v="360"/>
    <x v="2"/>
    <x v="293"/>
    <x v="1"/>
    <n v="41"/>
    <x v="0"/>
    <n v="0"/>
  </r>
  <r>
    <x v="473"/>
    <x v="2"/>
    <n v="2"/>
    <n v="1"/>
    <n v="2025"/>
    <s v="Jan"/>
    <x v="2"/>
    <x v="0"/>
    <x v="0"/>
    <d v="1899-12-30T18:15:00"/>
    <x v="473"/>
    <x v="0"/>
    <s v="Velachery"/>
    <x v="5"/>
    <s v="Dairy"/>
    <x v="4"/>
    <n v="54"/>
    <n v="108"/>
    <x v="2"/>
    <x v="172"/>
    <x v="1"/>
    <n v="48"/>
    <x v="1"/>
    <n v="2"/>
  </r>
  <r>
    <x v="474"/>
    <x v="5"/>
    <n v="10"/>
    <n v="1"/>
    <n v="2025"/>
    <s v="Jan"/>
    <x v="4"/>
    <x v="0"/>
    <x v="2"/>
    <d v="1899-12-30T18:45:00"/>
    <x v="474"/>
    <x v="4"/>
    <s v="Rohini"/>
    <x v="6"/>
    <s v="Vegetables"/>
    <x v="4"/>
    <n v="105"/>
    <n v="210"/>
    <x v="1"/>
    <x v="32"/>
    <x v="0"/>
    <n v="50"/>
    <x v="0"/>
    <n v="0"/>
  </r>
  <r>
    <x v="475"/>
    <x v="0"/>
    <n v="8"/>
    <n v="1"/>
    <n v="2025"/>
    <s v="Jan"/>
    <x v="0"/>
    <x v="0"/>
    <x v="1"/>
    <d v="1899-12-30T09:05:00"/>
    <x v="475"/>
    <x v="3"/>
    <s v="Velachery"/>
    <x v="8"/>
    <s v="Snacks"/>
    <x v="1"/>
    <n v="77"/>
    <n v="462"/>
    <x v="1"/>
    <x v="294"/>
    <x v="3"/>
    <n v="40"/>
    <x v="1"/>
    <n v="2"/>
  </r>
  <r>
    <x v="476"/>
    <x v="1"/>
    <n v="6"/>
    <n v="1"/>
    <n v="2025"/>
    <s v="Jan"/>
    <x v="1"/>
    <x v="0"/>
    <x v="2"/>
    <d v="1899-12-30T18:45:00"/>
    <x v="476"/>
    <x v="2"/>
    <s v="Gachibowli"/>
    <x v="0"/>
    <s v="Dairy"/>
    <x v="2"/>
    <n v="76"/>
    <n v="380"/>
    <x v="2"/>
    <x v="154"/>
    <x v="3"/>
    <n v="10"/>
    <x v="1"/>
    <n v="2"/>
  </r>
  <r>
    <x v="477"/>
    <x v="10"/>
    <n v="5"/>
    <n v="1"/>
    <n v="2025"/>
    <s v="Jan"/>
    <x v="6"/>
    <x v="1"/>
    <x v="2"/>
    <d v="1899-12-30T18:45:00"/>
    <x v="477"/>
    <x v="2"/>
    <s v="Whitefield"/>
    <x v="6"/>
    <s v="Vegetables"/>
    <x v="1"/>
    <n v="87"/>
    <n v="522"/>
    <x v="0"/>
    <x v="47"/>
    <x v="2"/>
    <n v="50"/>
    <x v="0"/>
    <n v="4"/>
  </r>
  <r>
    <x v="478"/>
    <x v="5"/>
    <n v="10"/>
    <n v="1"/>
    <n v="2025"/>
    <s v="Jan"/>
    <x v="4"/>
    <x v="0"/>
    <x v="3"/>
    <d v="1899-12-30T10:30:00"/>
    <x v="478"/>
    <x v="1"/>
    <s v="Whitefield"/>
    <x v="7"/>
    <s v="Grocery"/>
    <x v="1"/>
    <n v="46"/>
    <n v="276"/>
    <x v="0"/>
    <x v="295"/>
    <x v="1"/>
    <n v="23"/>
    <x v="0"/>
    <n v="0"/>
  </r>
  <r>
    <x v="479"/>
    <x v="6"/>
    <n v="4"/>
    <n v="1"/>
    <n v="2025"/>
    <s v="Jan"/>
    <x v="3"/>
    <x v="1"/>
    <x v="1"/>
    <d v="1899-12-30T09:05:00"/>
    <x v="479"/>
    <x v="2"/>
    <s v="Rohini"/>
    <x v="4"/>
    <s v="Fruits"/>
    <x v="2"/>
    <n v="109"/>
    <n v="545"/>
    <x v="1"/>
    <x v="265"/>
    <x v="1"/>
    <n v="51"/>
    <x v="0"/>
    <n v="5"/>
  </r>
  <r>
    <x v="480"/>
    <x v="7"/>
    <n v="7"/>
    <n v="1"/>
    <n v="2025"/>
    <s v="Jan"/>
    <x v="5"/>
    <x v="0"/>
    <x v="3"/>
    <d v="1899-12-30T10:30:00"/>
    <x v="480"/>
    <x v="2"/>
    <s v="Gachibowli"/>
    <x v="2"/>
    <s v="Dairy"/>
    <x v="0"/>
    <n v="94"/>
    <n v="94"/>
    <x v="2"/>
    <x v="175"/>
    <x v="0"/>
    <n v="37"/>
    <x v="0"/>
    <n v="0"/>
  </r>
  <r>
    <x v="481"/>
    <x v="8"/>
    <n v="3"/>
    <n v="1"/>
    <n v="2025"/>
    <s v="Jan"/>
    <x v="4"/>
    <x v="0"/>
    <x v="1"/>
    <d v="1899-12-30T09:05:00"/>
    <x v="481"/>
    <x v="2"/>
    <s v="Andheri"/>
    <x v="2"/>
    <s v="Dairy"/>
    <x v="4"/>
    <n v="92"/>
    <n v="184"/>
    <x v="1"/>
    <x v="101"/>
    <x v="2"/>
    <n v="32"/>
    <x v="1"/>
    <n v="0"/>
  </r>
  <r>
    <x v="482"/>
    <x v="3"/>
    <n v="11"/>
    <n v="1"/>
    <n v="2025"/>
    <s v="Jan"/>
    <x v="3"/>
    <x v="1"/>
    <x v="3"/>
    <d v="1899-12-30T10:30:00"/>
    <x v="482"/>
    <x v="3"/>
    <s v="Andheri"/>
    <x v="0"/>
    <s v="Dairy"/>
    <x v="2"/>
    <n v="118"/>
    <n v="590"/>
    <x v="1"/>
    <x v="155"/>
    <x v="0"/>
    <n v="19"/>
    <x v="0"/>
    <n v="3"/>
  </r>
  <r>
    <x v="483"/>
    <x v="8"/>
    <n v="3"/>
    <n v="1"/>
    <n v="2025"/>
    <s v="Jan"/>
    <x v="4"/>
    <x v="0"/>
    <x v="2"/>
    <d v="1899-12-30T18:45:00"/>
    <x v="483"/>
    <x v="1"/>
    <s v="Kukatpally"/>
    <x v="5"/>
    <s v="Dairy"/>
    <x v="3"/>
    <n v="28"/>
    <n v="112"/>
    <x v="1"/>
    <x v="4"/>
    <x v="0"/>
    <n v="58"/>
    <x v="1"/>
    <n v="4"/>
  </r>
  <r>
    <x v="484"/>
    <x v="1"/>
    <n v="6"/>
    <n v="1"/>
    <n v="2025"/>
    <s v="Jan"/>
    <x v="1"/>
    <x v="0"/>
    <x v="3"/>
    <d v="1899-12-30T10:30:00"/>
    <x v="484"/>
    <x v="0"/>
    <s v="Dwarka"/>
    <x v="0"/>
    <s v="Dairy"/>
    <x v="3"/>
    <n v="47"/>
    <n v="188"/>
    <x v="1"/>
    <x v="166"/>
    <x v="3"/>
    <n v="35"/>
    <x v="0"/>
    <n v="4"/>
  </r>
  <r>
    <x v="485"/>
    <x v="10"/>
    <n v="5"/>
    <n v="1"/>
    <n v="2025"/>
    <s v="Jan"/>
    <x v="6"/>
    <x v="1"/>
    <x v="3"/>
    <d v="1899-12-30T10:30:00"/>
    <x v="485"/>
    <x v="4"/>
    <s v="Whitefield"/>
    <x v="2"/>
    <s v="Dairy"/>
    <x v="2"/>
    <n v="104"/>
    <n v="520"/>
    <x v="1"/>
    <x v="296"/>
    <x v="1"/>
    <n v="56"/>
    <x v="1"/>
    <n v="5"/>
  </r>
  <r>
    <x v="486"/>
    <x v="2"/>
    <n v="2"/>
    <n v="1"/>
    <n v="2025"/>
    <s v="Jan"/>
    <x v="2"/>
    <x v="0"/>
    <x v="2"/>
    <d v="1899-12-30T18:45:00"/>
    <x v="486"/>
    <x v="0"/>
    <s v="Andheri"/>
    <x v="0"/>
    <s v="Dairy"/>
    <x v="2"/>
    <n v="85"/>
    <n v="425"/>
    <x v="0"/>
    <x v="297"/>
    <x v="1"/>
    <n v="14"/>
    <x v="0"/>
    <n v="2"/>
  </r>
  <r>
    <x v="487"/>
    <x v="3"/>
    <n v="11"/>
    <n v="1"/>
    <n v="2025"/>
    <s v="Jan"/>
    <x v="3"/>
    <x v="1"/>
    <x v="3"/>
    <d v="1899-12-30T10:30:00"/>
    <x v="487"/>
    <x v="0"/>
    <s v="Hinjewadi"/>
    <x v="7"/>
    <s v="Grocery"/>
    <x v="3"/>
    <n v="78"/>
    <n v="312"/>
    <x v="1"/>
    <x v="224"/>
    <x v="3"/>
    <n v="35"/>
    <x v="0"/>
    <n v="1"/>
  </r>
  <r>
    <x v="488"/>
    <x v="6"/>
    <n v="4"/>
    <n v="1"/>
    <n v="2025"/>
    <s v="Jan"/>
    <x v="3"/>
    <x v="1"/>
    <x v="3"/>
    <d v="1899-12-30T10:30:00"/>
    <x v="488"/>
    <x v="5"/>
    <s v="Andheri"/>
    <x v="2"/>
    <s v="Dairy"/>
    <x v="1"/>
    <n v="110"/>
    <n v="660"/>
    <x v="1"/>
    <x v="298"/>
    <x v="1"/>
    <n v="44"/>
    <x v="0"/>
    <n v="2"/>
  </r>
  <r>
    <x v="489"/>
    <x v="2"/>
    <n v="2"/>
    <n v="1"/>
    <n v="2025"/>
    <s v="Jan"/>
    <x v="2"/>
    <x v="0"/>
    <x v="0"/>
    <d v="1899-12-30T18:15:00"/>
    <x v="489"/>
    <x v="1"/>
    <s v="Hinjewadi"/>
    <x v="2"/>
    <s v="Dairy"/>
    <x v="2"/>
    <n v="15"/>
    <n v="85"/>
    <x v="2"/>
    <x v="14"/>
    <x v="3"/>
    <n v="18"/>
    <x v="1"/>
    <n v="2"/>
  </r>
  <r>
    <x v="490"/>
    <x v="8"/>
    <n v="3"/>
    <n v="1"/>
    <n v="2025"/>
    <s v="Jan"/>
    <x v="4"/>
    <x v="0"/>
    <x v="2"/>
    <d v="1899-12-30T18:45:00"/>
    <x v="490"/>
    <x v="6"/>
    <s v="Velachery"/>
    <x v="4"/>
    <s v="Fruits"/>
    <x v="5"/>
    <n v="85"/>
    <n v="255"/>
    <x v="1"/>
    <x v="11"/>
    <x v="3"/>
    <n v="12"/>
    <x v="0"/>
    <n v="5"/>
  </r>
  <r>
    <x v="491"/>
    <x v="0"/>
    <n v="8"/>
    <n v="1"/>
    <n v="2025"/>
    <s v="Jan"/>
    <x v="0"/>
    <x v="0"/>
    <x v="1"/>
    <d v="1899-12-30T09:05:00"/>
    <x v="491"/>
    <x v="0"/>
    <s v="Rohini"/>
    <x v="5"/>
    <s v="Dairy"/>
    <x v="4"/>
    <n v="20"/>
    <n v="50"/>
    <x v="1"/>
    <x v="59"/>
    <x v="3"/>
    <n v="43"/>
    <x v="1"/>
    <n v="5"/>
  </r>
  <r>
    <x v="492"/>
    <x v="8"/>
    <n v="3"/>
    <n v="1"/>
    <n v="2025"/>
    <s v="Jan"/>
    <x v="4"/>
    <x v="0"/>
    <x v="0"/>
    <d v="1899-12-30T18:15:00"/>
    <x v="492"/>
    <x v="6"/>
    <s v="Kukatpally"/>
    <x v="6"/>
    <s v="Vegetables"/>
    <x v="2"/>
    <n v="43"/>
    <n v="215"/>
    <x v="2"/>
    <x v="32"/>
    <x v="1"/>
    <n v="10"/>
    <x v="0"/>
    <n v="4"/>
  </r>
  <r>
    <x v="493"/>
    <x v="10"/>
    <n v="5"/>
    <n v="1"/>
    <n v="2025"/>
    <s v="Jan"/>
    <x v="6"/>
    <x v="1"/>
    <x v="2"/>
    <d v="1899-12-30T18:45:00"/>
    <x v="493"/>
    <x v="1"/>
    <s v="Dwarka"/>
    <x v="3"/>
    <s v="Bakery"/>
    <x v="3"/>
    <n v="103"/>
    <n v="422"/>
    <x v="1"/>
    <x v="299"/>
    <x v="0"/>
    <n v="43"/>
    <x v="0"/>
    <n v="2"/>
  </r>
  <r>
    <x v="494"/>
    <x v="5"/>
    <n v="10"/>
    <n v="1"/>
    <n v="2025"/>
    <s v="Jan"/>
    <x v="4"/>
    <x v="0"/>
    <x v="2"/>
    <d v="1899-12-30T18:45:00"/>
    <x v="494"/>
    <x v="2"/>
    <s v="Dwarka"/>
    <x v="4"/>
    <s v="Fruits"/>
    <x v="2"/>
    <n v="53"/>
    <n v="265"/>
    <x v="2"/>
    <x v="148"/>
    <x v="2"/>
    <n v="17"/>
    <x v="1"/>
    <n v="3"/>
  </r>
  <r>
    <x v="495"/>
    <x v="6"/>
    <n v="4"/>
    <n v="1"/>
    <n v="2025"/>
    <s v="Jan"/>
    <x v="3"/>
    <x v="1"/>
    <x v="0"/>
    <d v="1899-12-30T18:15:00"/>
    <x v="495"/>
    <x v="5"/>
    <s v="Andheri"/>
    <x v="5"/>
    <s v="Dairy"/>
    <x v="0"/>
    <n v="115"/>
    <n v="115"/>
    <x v="2"/>
    <x v="184"/>
    <x v="1"/>
    <n v="21"/>
    <x v="1"/>
    <n v="4"/>
  </r>
  <r>
    <x v="496"/>
    <x v="10"/>
    <n v="5"/>
    <n v="1"/>
    <n v="2025"/>
    <s v="Jan"/>
    <x v="6"/>
    <x v="1"/>
    <x v="1"/>
    <d v="1899-12-30T09:05:00"/>
    <x v="496"/>
    <x v="2"/>
    <s v="Gachibowli"/>
    <x v="2"/>
    <s v="Dairy"/>
    <x v="5"/>
    <n v="73"/>
    <n v="219"/>
    <x v="2"/>
    <x v="283"/>
    <x v="1"/>
    <n v="26"/>
    <x v="0"/>
    <n v="0"/>
  </r>
  <r>
    <x v="497"/>
    <x v="10"/>
    <n v="5"/>
    <n v="1"/>
    <n v="2025"/>
    <s v="Jan"/>
    <x v="6"/>
    <x v="1"/>
    <x v="1"/>
    <d v="1899-12-30T09:05:00"/>
    <x v="497"/>
    <x v="1"/>
    <s v="Rohini"/>
    <x v="0"/>
    <s v="Dairy"/>
    <x v="1"/>
    <n v="53"/>
    <n v="318"/>
    <x v="1"/>
    <x v="300"/>
    <x v="3"/>
    <n v="38"/>
    <x v="0"/>
    <n v="2"/>
  </r>
  <r>
    <x v="498"/>
    <x v="3"/>
    <n v="11"/>
    <n v="1"/>
    <n v="2025"/>
    <s v="Jan"/>
    <x v="3"/>
    <x v="1"/>
    <x v="3"/>
    <d v="1899-12-30T10:30:00"/>
    <x v="498"/>
    <x v="3"/>
    <s v="Whitefield"/>
    <x v="6"/>
    <s v="Vegetables"/>
    <x v="0"/>
    <n v="98"/>
    <n v="98"/>
    <x v="1"/>
    <x v="0"/>
    <x v="1"/>
    <n v="42"/>
    <x v="1"/>
    <n v="5"/>
  </r>
  <r>
    <x v="499"/>
    <x v="8"/>
    <n v="3"/>
    <n v="1"/>
    <n v="2025"/>
    <s v="Jan"/>
    <x v="4"/>
    <x v="0"/>
    <x v="2"/>
    <d v="1899-12-30T18:45:00"/>
    <x v="499"/>
    <x v="0"/>
    <s v="Rohini"/>
    <x v="6"/>
    <s v="Vegetables"/>
    <x v="5"/>
    <n v="101"/>
    <n v="303"/>
    <x v="1"/>
    <x v="301"/>
    <x v="1"/>
    <n v="18"/>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69C326-566B-4C43-8537-E883992184D5}"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4" firstHeaderRow="1" firstDataRow="1" firstDataCol="1"/>
  <pivotFields count="2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numFmtId="14" showAll="0">
      <items count="12">
        <item x="9"/>
        <item x="2"/>
        <item x="8"/>
        <item x="6"/>
        <item x="10"/>
        <item x="1"/>
        <item x="7"/>
        <item x="0"/>
        <item x="4"/>
        <item x="5"/>
        <item x="3"/>
        <item t="default"/>
      </items>
    </pivotField>
    <pivotField showAll="0"/>
    <pivotField showAll="0"/>
    <pivotField showAll="0"/>
    <pivotField showAll="0"/>
    <pivotField showAll="0">
      <items count="8">
        <item x="6"/>
        <item x="1"/>
        <item x="5"/>
        <item x="0"/>
        <item x="2"/>
        <item x="4"/>
        <item x="3"/>
        <item t="default"/>
      </items>
    </pivotField>
    <pivotField showAll="0"/>
    <pivotField numFmtId="164" showAll="0">
      <items count="5">
        <item x="1"/>
        <item x="3"/>
        <item x="0"/>
        <item x="2"/>
        <item t="default"/>
      </items>
    </pivotField>
    <pivotField numFmtId="164"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8">
        <item x="0"/>
        <item x="4"/>
        <item x="3"/>
        <item x="1"/>
        <item x="5"/>
        <item x="6"/>
        <item x="2"/>
        <item t="default"/>
      </items>
    </pivotField>
    <pivotField showAll="0"/>
    <pivotField showAll="0">
      <items count="10">
        <item x="4"/>
        <item x="1"/>
        <item x="3"/>
        <item x="8"/>
        <item x="0"/>
        <item x="2"/>
        <item x="5"/>
        <item x="6"/>
        <item x="7"/>
        <item t="default"/>
      </items>
    </pivotField>
    <pivotField showAll="0"/>
    <pivotField showAll="0">
      <items count="7">
        <item x="0"/>
        <item x="4"/>
        <item x="5"/>
        <item x="3"/>
        <item x="2"/>
        <item x="1"/>
        <item t="default"/>
      </items>
    </pivotField>
    <pivotField showAll="0"/>
    <pivotField showAll="0"/>
    <pivotField showAll="0"/>
    <pivotField dataField="1" showAll="0">
      <items count="303">
        <item x="267"/>
        <item x="147"/>
        <item x="268"/>
        <item x="129"/>
        <item x="205"/>
        <item x="158"/>
        <item x="150"/>
        <item x="7"/>
        <item x="123"/>
        <item x="260"/>
        <item x="213"/>
        <item x="139"/>
        <item x="230"/>
        <item x="44"/>
        <item x="288"/>
        <item x="117"/>
        <item x="245"/>
        <item x="199"/>
        <item x="103"/>
        <item x="89"/>
        <item x="113"/>
        <item x="159"/>
        <item x="59"/>
        <item x="34"/>
        <item x="109"/>
        <item x="290"/>
        <item x="250"/>
        <item x="242"/>
        <item x="200"/>
        <item x="49"/>
        <item x="289"/>
        <item x="6"/>
        <item x="75"/>
        <item x="157"/>
        <item x="115"/>
        <item x="138"/>
        <item x="203"/>
        <item x="237"/>
        <item x="67"/>
        <item x="17"/>
        <item x="144"/>
        <item x="95"/>
        <item x="39"/>
        <item x="28"/>
        <item x="65"/>
        <item x="183"/>
        <item x="9"/>
        <item x="40"/>
        <item x="14"/>
        <item x="124"/>
        <item x="217"/>
        <item x="275"/>
        <item x="135"/>
        <item x="85"/>
        <item x="57"/>
        <item x="58"/>
        <item x="128"/>
        <item x="15"/>
        <item x="133"/>
        <item x="130"/>
        <item x="52"/>
        <item x="99"/>
        <item x="198"/>
        <item x="248"/>
        <item x="206"/>
        <item x="29"/>
        <item x="55"/>
        <item x="175"/>
        <item x="24"/>
        <item x="64"/>
        <item x="118"/>
        <item x="100"/>
        <item x="189"/>
        <item x="23"/>
        <item x="84"/>
        <item x="0"/>
        <item x="22"/>
        <item x="62"/>
        <item x="220"/>
        <item x="172"/>
        <item x="31"/>
        <item x="152"/>
        <item x="201"/>
        <item x="210"/>
        <item x="184"/>
        <item x="83"/>
        <item x="4"/>
        <item x="179"/>
        <item x="188"/>
        <item x="240"/>
        <item x="69"/>
        <item x="229"/>
        <item x="186"/>
        <item x="174"/>
        <item x="127"/>
        <item x="249"/>
        <item x="219"/>
        <item x="1"/>
        <item x="202"/>
        <item x="145"/>
        <item x="193"/>
        <item x="165"/>
        <item x="93"/>
        <item x="71"/>
        <item x="156"/>
        <item x="178"/>
        <item x="204"/>
        <item x="120"/>
        <item x="277"/>
        <item x="264"/>
        <item x="106"/>
        <item x="255"/>
        <item x="97"/>
        <item x="121"/>
        <item x="151"/>
        <item x="80"/>
        <item x="98"/>
        <item x="74"/>
        <item x="207"/>
        <item x="140"/>
        <item x="285"/>
        <item x="30"/>
        <item x="56"/>
        <item x="101"/>
        <item x="236"/>
        <item x="134"/>
        <item x="270"/>
        <item x="166"/>
        <item x="196"/>
        <item x="185"/>
        <item x="280"/>
        <item x="42"/>
        <item x="25"/>
        <item x="190"/>
        <item x="177"/>
        <item x="126"/>
        <item x="131"/>
        <item x="116"/>
        <item x="77"/>
        <item x="122"/>
        <item x="73"/>
        <item x="181"/>
        <item x="235"/>
        <item x="32"/>
        <item x="221"/>
        <item x="246"/>
        <item x="283"/>
        <item x="137"/>
        <item x="212"/>
        <item x="92"/>
        <item x="45"/>
        <item x="261"/>
        <item x="279"/>
        <item x="20"/>
        <item x="143"/>
        <item x="63"/>
        <item x="70"/>
        <item x="232"/>
        <item x="87"/>
        <item x="171"/>
        <item x="262"/>
        <item x="281"/>
        <item x="160"/>
        <item x="46"/>
        <item x="168"/>
        <item x="68"/>
        <item x="11"/>
        <item x="231"/>
        <item x="78"/>
        <item x="148"/>
        <item x="233"/>
        <item x="125"/>
        <item x="295"/>
        <item x="161"/>
        <item x="141"/>
        <item x="272"/>
        <item x="208"/>
        <item x="51"/>
        <item x="269"/>
        <item x="82"/>
        <item x="243"/>
        <item x="271"/>
        <item x="256"/>
        <item x="163"/>
        <item x="259"/>
        <item x="41"/>
        <item x="88"/>
        <item x="194"/>
        <item x="102"/>
        <item x="222"/>
        <item x="164"/>
        <item x="218"/>
        <item x="223"/>
        <item x="301"/>
        <item x="282"/>
        <item x="110"/>
        <item x="224"/>
        <item x="247"/>
        <item x="13"/>
        <item x="142"/>
        <item x="300"/>
        <item x="94"/>
        <item x="60"/>
        <item x="53"/>
        <item x="273"/>
        <item x="136"/>
        <item x="214"/>
        <item x="3"/>
        <item x="226"/>
        <item x="254"/>
        <item x="33"/>
        <item x="107"/>
        <item x="91"/>
        <item x="104"/>
        <item x="43"/>
        <item x="162"/>
        <item x="38"/>
        <item x="266"/>
        <item x="114"/>
        <item x="292"/>
        <item x="244"/>
        <item x="215"/>
        <item x="293"/>
        <item x="252"/>
        <item x="180"/>
        <item x="253"/>
        <item x="191"/>
        <item x="90"/>
        <item x="61"/>
        <item x="16"/>
        <item x="154"/>
        <item x="48"/>
        <item x="19"/>
        <item x="35"/>
        <item x="274"/>
        <item x="153"/>
        <item x="21"/>
        <item x="96"/>
        <item x="66"/>
        <item x="251"/>
        <item x="167"/>
        <item x="238"/>
        <item x="79"/>
        <item x="197"/>
        <item x="27"/>
        <item x="299"/>
        <item x="284"/>
        <item x="297"/>
        <item x="209"/>
        <item x="50"/>
        <item x="195"/>
        <item x="119"/>
        <item x="263"/>
        <item x="211"/>
        <item x="228"/>
        <item x="187"/>
        <item x="170"/>
        <item x="241"/>
        <item x="234"/>
        <item x="81"/>
        <item x="2"/>
        <item x="105"/>
        <item x="149"/>
        <item x="294"/>
        <item x="108"/>
        <item x="76"/>
        <item x="276"/>
        <item x="18"/>
        <item x="111"/>
        <item x="239"/>
        <item x="8"/>
        <item x="54"/>
        <item x="278"/>
        <item x="182"/>
        <item x="286"/>
        <item x="37"/>
        <item x="47"/>
        <item x="257"/>
        <item x="296"/>
        <item x="173"/>
        <item x="5"/>
        <item x="72"/>
        <item x="192"/>
        <item x="265"/>
        <item x="216"/>
        <item x="26"/>
        <item x="169"/>
        <item x="12"/>
        <item x="36"/>
        <item x="155"/>
        <item x="146"/>
        <item x="291"/>
        <item x="227"/>
        <item x="287"/>
        <item x="86"/>
        <item x="112"/>
        <item x="10"/>
        <item x="298"/>
        <item x="176"/>
        <item x="225"/>
        <item x="258"/>
        <item x="132"/>
        <item t="default"/>
      </items>
    </pivotField>
    <pivotField showAll="0">
      <items count="5">
        <item x="3"/>
        <item x="2"/>
        <item x="1"/>
        <item x="0"/>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x v="10"/>
    </i>
  </rowItems>
  <colItems count="1">
    <i/>
  </colItems>
  <dataFields count="1">
    <dataField name="Sum of Final_Payable_Amount" fld="1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9A8EE-CC17-4EE7-A15A-E4A5B7934BFE}"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2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12">
        <item x="9"/>
        <item x="2"/>
        <item x="8"/>
        <item x="6"/>
        <item x="10"/>
        <item x="1"/>
        <item x="7"/>
        <item x="0"/>
        <item x="4"/>
        <item x="5"/>
        <item x="3"/>
        <item t="default"/>
      </items>
    </pivotField>
    <pivotField showAll="0"/>
    <pivotField showAll="0"/>
    <pivotField showAll="0"/>
    <pivotField showAll="0"/>
    <pivotField showAll="0">
      <items count="8">
        <item x="6"/>
        <item x="1"/>
        <item x="5"/>
        <item x="0"/>
        <item x="2"/>
        <item x="4"/>
        <item x="3"/>
        <item t="default"/>
      </items>
    </pivotField>
    <pivotField showAll="0"/>
    <pivotField numFmtId="164" showAll="0">
      <items count="5">
        <item x="1"/>
        <item x="3"/>
        <item x="0"/>
        <item x="2"/>
        <item t="default"/>
      </items>
    </pivotField>
    <pivotField numFmtId="164"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8">
        <item x="0"/>
        <item x="4"/>
        <item x="3"/>
        <item x="1"/>
        <item x="5"/>
        <item x="6"/>
        <item x="2"/>
        <item t="default"/>
      </items>
    </pivotField>
    <pivotField showAll="0"/>
    <pivotField showAll="0">
      <items count="10">
        <item x="4"/>
        <item x="1"/>
        <item x="3"/>
        <item x="8"/>
        <item x="0"/>
        <item x="2"/>
        <item x="5"/>
        <item x="6"/>
        <item x="7"/>
        <item t="default"/>
      </items>
    </pivotField>
    <pivotField showAll="0"/>
    <pivotField showAll="0">
      <items count="7">
        <item x="0"/>
        <item x="4"/>
        <item x="5"/>
        <item x="3"/>
        <item x="2"/>
        <item x="1"/>
        <item t="default"/>
      </items>
    </pivotField>
    <pivotField showAll="0"/>
    <pivotField showAll="0"/>
    <pivotField showAll="0"/>
    <pivotField showAll="0"/>
    <pivotField showAll="0">
      <items count="5">
        <item x="3"/>
        <item x="2"/>
        <item x="1"/>
        <item x="0"/>
        <item t="default"/>
      </items>
    </pivotField>
    <pivotField showAll="0"/>
    <pivotField axis="axisRow" showAll="0">
      <items count="3">
        <item x="0"/>
        <item x="1"/>
        <item t="default"/>
      </items>
    </pivotField>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2"/>
  </rowFields>
  <rowItems count="2">
    <i>
      <x/>
    </i>
    <i>
      <x v="1"/>
    </i>
  </rowItems>
  <colItems count="1">
    <i/>
  </colItems>
  <dataFields count="1">
    <dataField name="Count of Order_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2" count="1" selected="0">
            <x v="0"/>
          </reference>
        </references>
      </pivotArea>
    </chartFormat>
    <chartFormat chart="5" format="8">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C51788-756D-45ED-BF65-59378D35660C}"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6" firstHeaderRow="1" firstDataRow="1" firstDataCol="1"/>
  <pivotFields count="2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12">
        <item x="9"/>
        <item x="2"/>
        <item x="8"/>
        <item x="6"/>
        <item x="10"/>
        <item x="1"/>
        <item x="7"/>
        <item x="0"/>
        <item x="4"/>
        <item x="5"/>
        <item x="3"/>
        <item t="default"/>
      </items>
    </pivotField>
    <pivotField showAll="0"/>
    <pivotField showAll="0"/>
    <pivotField showAll="0"/>
    <pivotField showAll="0"/>
    <pivotField showAll="0">
      <items count="8">
        <item x="6"/>
        <item x="1"/>
        <item x="5"/>
        <item x="0"/>
        <item x="2"/>
        <item x="4"/>
        <item x="3"/>
        <item t="default"/>
      </items>
    </pivotField>
    <pivotField showAll="0"/>
    <pivotField numFmtId="164" showAll="0">
      <items count="5">
        <item x="1"/>
        <item x="3"/>
        <item x="0"/>
        <item x="2"/>
        <item t="default"/>
      </items>
    </pivotField>
    <pivotField numFmtId="164"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8">
        <item x="0"/>
        <item x="4"/>
        <item x="3"/>
        <item x="1"/>
        <item x="5"/>
        <item x="6"/>
        <item x="2"/>
        <item t="default"/>
      </items>
    </pivotField>
    <pivotField showAll="0"/>
    <pivotField showAll="0">
      <items count="10">
        <item x="4"/>
        <item x="1"/>
        <item x="3"/>
        <item x="8"/>
        <item x="0"/>
        <item x="2"/>
        <item x="5"/>
        <item x="6"/>
        <item x="7"/>
        <item t="default"/>
      </items>
    </pivotField>
    <pivotField showAll="0"/>
    <pivotField showAll="0">
      <items count="7">
        <item x="0"/>
        <item x="4"/>
        <item x="5"/>
        <item x="3"/>
        <item x="2"/>
        <item x="1"/>
        <item t="default"/>
      </items>
    </pivotField>
    <pivotField showAll="0"/>
    <pivotField showAll="0"/>
    <pivotField axis="axisRow" showAll="0">
      <items count="4">
        <item x="1"/>
        <item x="2"/>
        <item x="0"/>
        <item t="default"/>
      </items>
    </pivotField>
    <pivotField dataField="1" showAll="0"/>
    <pivotField showAll="0">
      <items count="5">
        <item x="3"/>
        <item x="2"/>
        <item x="1"/>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8"/>
  </rowFields>
  <rowItems count="3">
    <i>
      <x/>
    </i>
    <i>
      <x v="1"/>
    </i>
    <i>
      <x v="2"/>
    </i>
  </rowItems>
  <colItems count="1">
    <i/>
  </colItems>
  <dataFields count="1">
    <dataField name="Sum of Final_Payable_Amount" fld="1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A3875B-C90E-49C8-82FA-E824C30E39CB}"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0" firstHeaderRow="1" firstDataRow="1" firstDataCol="1"/>
  <pivotFields count="2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12">
        <item x="9"/>
        <item x="2"/>
        <item x="8"/>
        <item x="6"/>
        <item x="10"/>
        <item x="1"/>
        <item x="7"/>
        <item x="0"/>
        <item x="4"/>
        <item x="5"/>
        <item x="3"/>
        <item t="default"/>
      </items>
    </pivotField>
    <pivotField showAll="0"/>
    <pivotField showAll="0"/>
    <pivotField showAll="0"/>
    <pivotField showAll="0"/>
    <pivotField showAll="0">
      <items count="8">
        <item x="6"/>
        <item x="1"/>
        <item x="5"/>
        <item x="0"/>
        <item x="2"/>
        <item x="4"/>
        <item x="3"/>
        <item t="default"/>
      </items>
    </pivotField>
    <pivotField showAll="0"/>
    <pivotField numFmtId="164" showAll="0">
      <items count="5">
        <item x="1"/>
        <item x="3"/>
        <item x="0"/>
        <item x="2"/>
        <item t="default"/>
      </items>
    </pivotField>
    <pivotField numFmtId="164"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8">
        <item x="0"/>
        <item x="4"/>
        <item x="3"/>
        <item x="1"/>
        <item x="5"/>
        <item x="6"/>
        <item x="2"/>
        <item t="default"/>
      </items>
    </pivotField>
    <pivotField showAll="0"/>
    <pivotField showAll="0">
      <items count="10">
        <item x="4"/>
        <item x="1"/>
        <item x="3"/>
        <item x="8"/>
        <item x="0"/>
        <item x="2"/>
        <item x="5"/>
        <item x="6"/>
        <item x="7"/>
        <item t="default"/>
      </items>
    </pivotField>
    <pivotField showAll="0"/>
    <pivotField showAll="0">
      <items count="7">
        <item x="0"/>
        <item x="4"/>
        <item x="5"/>
        <item x="3"/>
        <item x="2"/>
        <item x="1"/>
        <item t="default"/>
      </items>
    </pivotField>
    <pivotField showAll="0"/>
    <pivotField dataField="1" showAll="0"/>
    <pivotField showAll="0"/>
    <pivotField showAll="0"/>
    <pivotField showAll="0">
      <items count="5">
        <item x="3"/>
        <item x="2"/>
        <item x="1"/>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1"/>
  </rowFields>
  <rowItems count="7">
    <i>
      <x/>
    </i>
    <i>
      <x v="1"/>
    </i>
    <i>
      <x v="2"/>
    </i>
    <i>
      <x v="3"/>
    </i>
    <i>
      <x v="4"/>
    </i>
    <i>
      <x v="5"/>
    </i>
    <i>
      <x v="6"/>
    </i>
  </rowItems>
  <colItems count="1">
    <i/>
  </colItems>
  <dataFields count="1">
    <dataField name="Sum of Total_Product_Value"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C01708-A236-4890-A020-D3A3B1D0EA01}"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2" firstHeaderRow="1" firstDataRow="1" firstDataCol="1"/>
  <pivotFields count="2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12">
        <item x="9"/>
        <item x="2"/>
        <item x="8"/>
        <item x="6"/>
        <item x="10"/>
        <item x="1"/>
        <item x="7"/>
        <item x="0"/>
        <item x="4"/>
        <item x="5"/>
        <item x="3"/>
        <item t="default"/>
      </items>
    </pivotField>
    <pivotField showAll="0"/>
    <pivotField showAll="0"/>
    <pivotField showAll="0"/>
    <pivotField showAll="0"/>
    <pivotField showAll="0">
      <items count="8">
        <item x="6"/>
        <item x="1"/>
        <item x="5"/>
        <item x="0"/>
        <item x="2"/>
        <item x="4"/>
        <item x="3"/>
        <item t="default"/>
      </items>
    </pivotField>
    <pivotField showAll="0"/>
    <pivotField numFmtId="164" showAll="0">
      <items count="5">
        <item x="1"/>
        <item x="3"/>
        <item x="0"/>
        <item x="2"/>
        <item t="default"/>
      </items>
    </pivotField>
    <pivotField numFmtId="164"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8">
        <item x="0"/>
        <item x="4"/>
        <item x="3"/>
        <item x="1"/>
        <item x="5"/>
        <item x="6"/>
        <item x="2"/>
        <item t="default"/>
      </items>
    </pivotField>
    <pivotField showAll="0"/>
    <pivotField axis="axisRow" showAll="0">
      <items count="10">
        <item x="4"/>
        <item x="1"/>
        <item x="3"/>
        <item x="8"/>
        <item x="0"/>
        <item x="2"/>
        <item x="5"/>
        <item x="6"/>
        <item x="7"/>
        <item t="default"/>
      </items>
    </pivotField>
    <pivotField showAll="0"/>
    <pivotField showAll="0">
      <items count="7">
        <item x="0"/>
        <item x="4"/>
        <item x="5"/>
        <item x="3"/>
        <item x="2"/>
        <item x="1"/>
        <item t="default"/>
      </items>
    </pivotField>
    <pivotField showAll="0"/>
    <pivotField showAll="0"/>
    <pivotField showAll="0"/>
    <pivotField dataField="1" showAll="0"/>
    <pivotField showAll="0">
      <items count="5">
        <item x="3"/>
        <item x="2"/>
        <item x="1"/>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3"/>
  </rowFields>
  <rowItems count="9">
    <i>
      <x/>
    </i>
    <i>
      <x v="1"/>
    </i>
    <i>
      <x v="2"/>
    </i>
    <i>
      <x v="3"/>
    </i>
    <i>
      <x v="4"/>
    </i>
    <i>
      <x v="5"/>
    </i>
    <i>
      <x v="6"/>
    </i>
    <i>
      <x v="7"/>
    </i>
    <i>
      <x v="8"/>
    </i>
  </rowItems>
  <colItems count="1">
    <i/>
  </colItems>
  <dataFields count="1">
    <dataField name="Sum of Final_Payable_Amount" fld="1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A4356C-02C5-4C6D-A21E-66A2F1EC01AF}"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7" firstHeaderRow="1" firstDataRow="1" firstDataCol="1"/>
  <pivotFields count="2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12">
        <item x="9"/>
        <item x="2"/>
        <item x="8"/>
        <item x="6"/>
        <item x="10"/>
        <item x="1"/>
        <item x="7"/>
        <item x="0"/>
        <item x="4"/>
        <item x="5"/>
        <item x="3"/>
        <item t="default"/>
      </items>
    </pivotField>
    <pivotField showAll="0"/>
    <pivotField showAll="0"/>
    <pivotField showAll="0"/>
    <pivotField showAll="0"/>
    <pivotField showAll="0">
      <items count="8">
        <item x="6"/>
        <item x="1"/>
        <item x="5"/>
        <item x="0"/>
        <item x="2"/>
        <item x="4"/>
        <item x="3"/>
        <item t="default"/>
      </items>
    </pivotField>
    <pivotField showAll="0"/>
    <pivotField numFmtId="164" showAll="0">
      <items count="5">
        <item x="1"/>
        <item x="3"/>
        <item x="0"/>
        <item x="2"/>
        <item t="default"/>
      </items>
    </pivotField>
    <pivotField numFmtId="164"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8">
        <item x="0"/>
        <item x="4"/>
        <item x="3"/>
        <item x="1"/>
        <item x="5"/>
        <item x="6"/>
        <item x="2"/>
        <item t="default"/>
      </items>
    </pivotField>
    <pivotField showAll="0"/>
    <pivotField showAll="0">
      <items count="10">
        <item x="4"/>
        <item x="1"/>
        <item x="3"/>
        <item x="8"/>
        <item x="0"/>
        <item x="2"/>
        <item x="5"/>
        <item x="6"/>
        <item x="7"/>
        <item t="default"/>
      </items>
    </pivotField>
    <pivotField showAll="0"/>
    <pivotField showAll="0">
      <items count="7">
        <item x="0"/>
        <item x="4"/>
        <item x="5"/>
        <item x="3"/>
        <item x="2"/>
        <item x="1"/>
        <item t="default"/>
      </items>
    </pivotField>
    <pivotField showAll="0"/>
    <pivotField showAll="0"/>
    <pivotField showAll="0"/>
    <pivotField dataField="1" showAll="0"/>
    <pivotField axis="axisRow" showAll="0">
      <items count="5">
        <item x="3"/>
        <item x="2"/>
        <item x="1"/>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0"/>
  </rowFields>
  <rowItems count="4">
    <i>
      <x/>
    </i>
    <i>
      <x v="1"/>
    </i>
    <i>
      <x v="2"/>
    </i>
    <i>
      <x v="3"/>
    </i>
  </rowItems>
  <colItems count="1">
    <i/>
  </colItems>
  <dataFields count="1">
    <dataField name="Sum of Final_Payable_Amount" fld="19"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0" count="1" selected="0">
            <x v="0"/>
          </reference>
        </references>
      </pivotArea>
    </chartFormat>
    <chartFormat chart="7" format="12">
      <pivotArea type="data" outline="0" fieldPosition="0">
        <references count="2">
          <reference field="4294967294" count="1" selected="0">
            <x v="0"/>
          </reference>
          <reference field="20" count="1" selected="0">
            <x v="1"/>
          </reference>
        </references>
      </pivotArea>
    </chartFormat>
    <chartFormat chart="7" format="13">
      <pivotArea type="data" outline="0" fieldPosition="0">
        <references count="2">
          <reference field="4294967294" count="1" selected="0">
            <x v="0"/>
          </reference>
          <reference field="20" count="1" selected="0">
            <x v="2"/>
          </reference>
        </references>
      </pivotArea>
    </chartFormat>
    <chartFormat chart="7" format="1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68FD62-75E8-4777-8D1B-2BFB80CB862E}"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5" firstHeaderRow="1" firstDataRow="1" firstDataCol="1"/>
  <pivotFields count="2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12">
        <item x="9"/>
        <item x="2"/>
        <item x="8"/>
        <item x="6"/>
        <item x="10"/>
        <item x="1"/>
        <item x="7"/>
        <item x="0"/>
        <item x="4"/>
        <item x="5"/>
        <item x="3"/>
        <item t="default"/>
      </items>
    </pivotField>
    <pivotField showAll="0"/>
    <pivotField showAll="0"/>
    <pivotField showAll="0"/>
    <pivotField showAll="0"/>
    <pivotField showAll="0">
      <items count="8">
        <item x="6"/>
        <item x="1"/>
        <item x="5"/>
        <item x="0"/>
        <item x="2"/>
        <item x="4"/>
        <item x="3"/>
        <item t="default"/>
      </items>
    </pivotField>
    <pivotField axis="axisRow" showAll="0">
      <items count="3">
        <item x="0"/>
        <item x="1"/>
        <item t="default"/>
      </items>
    </pivotField>
    <pivotField numFmtId="164" showAll="0">
      <items count="5">
        <item x="1"/>
        <item x="3"/>
        <item x="0"/>
        <item x="2"/>
        <item t="default"/>
      </items>
    </pivotField>
    <pivotField numFmtId="164"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8">
        <item x="0"/>
        <item x="4"/>
        <item x="3"/>
        <item x="1"/>
        <item x="5"/>
        <item x="6"/>
        <item x="2"/>
        <item t="default"/>
      </items>
    </pivotField>
    <pivotField showAll="0"/>
    <pivotField showAll="0">
      <items count="10">
        <item x="4"/>
        <item x="1"/>
        <item x="3"/>
        <item x="8"/>
        <item x="0"/>
        <item x="2"/>
        <item x="5"/>
        <item x="6"/>
        <item x="7"/>
        <item t="default"/>
      </items>
    </pivotField>
    <pivotField showAll="0"/>
    <pivotField showAll="0">
      <items count="7">
        <item x="0"/>
        <item x="4"/>
        <item x="5"/>
        <item x="3"/>
        <item x="2"/>
        <item x="1"/>
        <item t="default"/>
      </items>
    </pivotField>
    <pivotField showAll="0"/>
    <pivotField showAll="0"/>
    <pivotField showAll="0"/>
    <pivotField dataField="1" showAll="0"/>
    <pivotField showAll="0">
      <items count="5">
        <item x="3"/>
        <item x="2"/>
        <item x="1"/>
        <item x="0"/>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7"/>
  </rowFields>
  <rowItems count="2">
    <i>
      <x/>
    </i>
    <i>
      <x v="1"/>
    </i>
  </rowItems>
  <colItems count="1">
    <i/>
  </colItems>
  <dataFields count="1">
    <dataField name="Sum of Final_Payable_Amount" fld="19"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46722F1-20DD-429E-BD44-66440DCF1298}" sourceName="Order_Date">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11">
        <i x="9" s="1"/>
        <i x="2" s="1"/>
        <i x="8" s="1"/>
        <i x="6" s="1"/>
        <i x="10" s="1"/>
        <i x="1" s="1"/>
        <i x="7" s="1"/>
        <i x="0"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AE6E52A-EB67-4D58-8E60-95B44BCD4FCA}" sourceName="City">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7">
        <i x="0" s="1"/>
        <i x="4" s="1"/>
        <i x="3" s="1"/>
        <i x="1" s="1"/>
        <i x="5"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A2B6F06-B59E-4D4B-8861-FE6EE39A51A1}" sourceName="Product_Name">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9">
        <i x="4" s="1"/>
        <i x="1" s="1"/>
        <i x="3" s="1"/>
        <i x="8" s="1"/>
        <i x="0" s="1"/>
        <i x="2" s="1"/>
        <i x="5"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7D9A954-6037-4A85-B62D-5D7C47610054}" sourceName="Payment_Mode">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09E064DF-8E0A-4025-8125-47D023003853}" sourceName="Order_ID">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45A5DCE-6689-464A-8EAB-FA3E013B48A0}" sourceName="day name">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7">
        <i x="6" s="1"/>
        <i x="1" s="1"/>
        <i x="5" s="1"/>
        <i x="0" s="1"/>
        <i x="2"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3FFE93A2-88F4-42F8-913A-176E15778FD2}" sourceName="Customer_ID">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DEA2C64-5017-484B-A725-BE6C24E16436}" sourceName="Quantity">
  <pivotTables>
    <pivotTable tabId="3" name="PivotTable1"/>
    <pivotTable tabId="8" name="PivotTable5"/>
    <pivotTable tabId="10" name="PivotTable7"/>
    <pivotTable tabId="5" name="PivotTable2"/>
    <pivotTable tabId="6" name="PivotTable3"/>
    <pivotTable tabId="9" name="PivotTable6"/>
    <pivotTable tabId="7" name="PivotTable4"/>
  </pivotTables>
  <data>
    <tabular pivotCacheId="2062438513">
      <items count="6">
        <i x="0" s="1"/>
        <i x="4" s="1"/>
        <i x="5"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AA885266-D2E2-4726-8B90-30A8A91F5C75}" cache="Slicer_Order_Date" caption="Order_Date" style="SlicerStyleDark2" rowHeight="234950"/>
  <slicer name="City" xr10:uid="{6ACF0E3B-147E-41B5-8074-4F64122B7C02}" cache="Slicer_City" caption="City" style="SlicerStyleDark2" rowHeight="234950"/>
  <slicer name="Product_Name" xr10:uid="{0F8EB20F-7085-4DE8-9C9A-1CC35B8E2D66}" cache="Slicer_Product_Name" caption="Product_Name" style="SlicerStyleDark2" rowHeight="234950"/>
  <slicer name="Payment_Mode" xr10:uid="{13C2F95A-D6DF-4BAB-92C9-75760C830092}" cache="Slicer_Payment_Mode" caption="Payment_Mode" style="SlicerStyleDark2" rowHeight="234950"/>
  <slicer name="Order_ID" xr10:uid="{D07B3FBF-6A80-422A-B6D7-2FC8061EF354}" cache="Slicer_Order_ID" caption="Order_ID" startItem="8" style="SlicerStyleDark2" rowHeight="234950"/>
  <slicer name="day name" xr10:uid="{58065961-E511-401A-872C-2BF3281D236C}" cache="Slicer_day_name" caption="day name" startItem="2" style="SlicerStyleDark2" rowHeight="234950"/>
  <slicer name="Customer_ID" xr10:uid="{35BE9965-4426-42D8-A442-A8487E5DCF7F}" cache="Slicer_Customer_ID" caption="Customer_ID" style="SlicerStyleDark2" rowHeight="234950"/>
  <slicer name="Quantity" xr10:uid="{22E5034C-83FA-4DFB-8751-6C3921DA05C1}" cache="Slicer_Quantity" caption="Quantity"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D155-8699-4A9C-BA74-583DDFB7120B}">
  <dimension ref="A3:B14"/>
  <sheetViews>
    <sheetView workbookViewId="0">
      <selection activeCell="O12" sqref="O12"/>
    </sheetView>
  </sheetViews>
  <sheetFormatPr defaultRowHeight="14.4" x14ac:dyDescent="0.3"/>
  <cols>
    <col min="1" max="1" width="12.5546875" bestFit="1" customWidth="1"/>
    <col min="2" max="2" width="27.33203125" bestFit="1" customWidth="1"/>
  </cols>
  <sheetData>
    <row r="3" spans="1:2" x14ac:dyDescent="0.3">
      <c r="A3" s="3" t="s">
        <v>1061</v>
      </c>
      <c r="B3" t="s">
        <v>1062</v>
      </c>
    </row>
    <row r="4" spans="1:2" x14ac:dyDescent="0.3">
      <c r="A4" s="4">
        <v>45658</v>
      </c>
      <c r="B4">
        <v>5870</v>
      </c>
    </row>
    <row r="5" spans="1:2" x14ac:dyDescent="0.3">
      <c r="A5" s="4">
        <v>45659</v>
      </c>
      <c r="B5">
        <v>9206</v>
      </c>
    </row>
    <row r="6" spans="1:2" x14ac:dyDescent="0.3">
      <c r="A6" s="4">
        <v>45660</v>
      </c>
      <c r="B6">
        <v>11996</v>
      </c>
    </row>
    <row r="7" spans="1:2" x14ac:dyDescent="0.3">
      <c r="A7" s="4">
        <v>45661</v>
      </c>
      <c r="B7">
        <v>9408</v>
      </c>
    </row>
    <row r="8" spans="1:2" x14ac:dyDescent="0.3">
      <c r="A8" s="4">
        <v>45662</v>
      </c>
      <c r="B8">
        <v>11602</v>
      </c>
    </row>
    <row r="9" spans="1:2" x14ac:dyDescent="0.3">
      <c r="A9" s="4">
        <v>45663</v>
      </c>
      <c r="B9">
        <v>12846</v>
      </c>
    </row>
    <row r="10" spans="1:2" x14ac:dyDescent="0.3">
      <c r="A10" s="4">
        <v>45664</v>
      </c>
      <c r="B10">
        <v>9133</v>
      </c>
    </row>
    <row r="11" spans="1:2" x14ac:dyDescent="0.3">
      <c r="A11" s="4">
        <v>45665</v>
      </c>
      <c r="B11">
        <v>10398</v>
      </c>
    </row>
    <row r="12" spans="1:2" x14ac:dyDescent="0.3">
      <c r="A12" s="4">
        <v>45666</v>
      </c>
      <c r="B12">
        <v>10517</v>
      </c>
    </row>
    <row r="13" spans="1:2" x14ac:dyDescent="0.3">
      <c r="A13" s="4">
        <v>45667</v>
      </c>
      <c r="B13">
        <v>10012</v>
      </c>
    </row>
    <row r="14" spans="1:2" x14ac:dyDescent="0.3">
      <c r="A14" s="4">
        <v>45668</v>
      </c>
      <c r="B14">
        <v>12094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89B40-238E-480F-9C85-9B952D3538EB}">
  <dimension ref="A3:B5"/>
  <sheetViews>
    <sheetView workbookViewId="0">
      <selection activeCell="O12" sqref="O12"/>
    </sheetView>
  </sheetViews>
  <sheetFormatPr defaultRowHeight="14.4" x14ac:dyDescent="0.3"/>
  <cols>
    <col min="1" max="1" width="12.5546875" bestFit="1" customWidth="1"/>
    <col min="2" max="2" width="16.44140625" bestFit="1" customWidth="1"/>
  </cols>
  <sheetData>
    <row r="3" spans="1:2" x14ac:dyDescent="0.3">
      <c r="A3" s="3" t="s">
        <v>1061</v>
      </c>
      <c r="B3" t="s">
        <v>1063</v>
      </c>
    </row>
    <row r="4" spans="1:2" x14ac:dyDescent="0.3">
      <c r="A4" s="5" t="s">
        <v>23</v>
      </c>
      <c r="B4">
        <v>274</v>
      </c>
    </row>
    <row r="5" spans="1:2" x14ac:dyDescent="0.3">
      <c r="A5" s="5" t="s">
        <v>35</v>
      </c>
      <c r="B5">
        <v>226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1CB6-A157-42F8-936C-B04A4431A4EA}">
  <dimension ref="A3:B6"/>
  <sheetViews>
    <sheetView workbookViewId="0">
      <selection activeCell="N14" sqref="N14"/>
    </sheetView>
  </sheetViews>
  <sheetFormatPr defaultRowHeight="14.4" x14ac:dyDescent="0.3"/>
  <cols>
    <col min="1" max="1" width="12.5546875" bestFit="1" customWidth="1"/>
    <col min="2" max="2" width="27.33203125" bestFit="1" customWidth="1"/>
  </cols>
  <sheetData>
    <row r="3" spans="1:2" x14ac:dyDescent="0.3">
      <c r="A3" s="3" t="s">
        <v>1061</v>
      </c>
      <c r="B3" t="s">
        <v>1062</v>
      </c>
    </row>
    <row r="4" spans="1:2" x14ac:dyDescent="0.3">
      <c r="A4" s="5">
        <v>0</v>
      </c>
      <c r="B4">
        <v>60326</v>
      </c>
    </row>
    <row r="5" spans="1:2" x14ac:dyDescent="0.3">
      <c r="A5" s="5">
        <v>5</v>
      </c>
      <c r="B5">
        <v>24442</v>
      </c>
    </row>
    <row r="6" spans="1:2" x14ac:dyDescent="0.3">
      <c r="A6" s="5">
        <v>10</v>
      </c>
      <c r="B6">
        <v>28314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4ED4-F7FB-4A04-80B2-158344171F1F}">
  <dimension ref="A3:B10"/>
  <sheetViews>
    <sheetView workbookViewId="0">
      <selection activeCell="O14" sqref="O14"/>
    </sheetView>
  </sheetViews>
  <sheetFormatPr defaultRowHeight="14.4" x14ac:dyDescent="0.3"/>
  <cols>
    <col min="1" max="1" width="12.5546875" bestFit="1" customWidth="1"/>
    <col min="2" max="2" width="25.5546875" bestFit="1" customWidth="1"/>
  </cols>
  <sheetData>
    <row r="3" spans="1:2" x14ac:dyDescent="0.3">
      <c r="A3" s="3" t="s">
        <v>1061</v>
      </c>
      <c r="B3" t="s">
        <v>1064</v>
      </c>
    </row>
    <row r="4" spans="1:2" x14ac:dyDescent="0.3">
      <c r="A4" s="5" t="s">
        <v>31</v>
      </c>
      <c r="B4">
        <v>26659</v>
      </c>
    </row>
    <row r="5" spans="1:2" x14ac:dyDescent="0.3">
      <c r="A5" s="5" t="s">
        <v>58</v>
      </c>
      <c r="B5">
        <v>15763</v>
      </c>
    </row>
    <row r="6" spans="1:2" x14ac:dyDescent="0.3">
      <c r="A6" s="5" t="s">
        <v>49</v>
      </c>
      <c r="B6">
        <v>12937</v>
      </c>
    </row>
    <row r="7" spans="1:2" x14ac:dyDescent="0.3">
      <c r="A7" s="5" t="s">
        <v>52</v>
      </c>
      <c r="B7">
        <v>21315</v>
      </c>
    </row>
    <row r="8" spans="1:2" x14ac:dyDescent="0.3">
      <c r="A8" s="5" t="s">
        <v>87</v>
      </c>
      <c r="B8">
        <v>12311</v>
      </c>
    </row>
    <row r="9" spans="1:2" x14ac:dyDescent="0.3">
      <c r="A9" s="5" t="s">
        <v>90</v>
      </c>
      <c r="B9">
        <v>12545</v>
      </c>
    </row>
    <row r="10" spans="1:2" x14ac:dyDescent="0.3">
      <c r="A10" s="5" t="s">
        <v>38</v>
      </c>
      <c r="B10">
        <v>13607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1591-6D8D-4DC2-A60C-F24F0FCD6609}">
  <dimension ref="A3:B12"/>
  <sheetViews>
    <sheetView topLeftCell="A3" workbookViewId="0">
      <selection activeCell="O15" sqref="O15"/>
    </sheetView>
  </sheetViews>
  <sheetFormatPr defaultRowHeight="14.4" x14ac:dyDescent="0.3"/>
  <cols>
    <col min="1" max="1" width="12.5546875" bestFit="1" customWidth="1"/>
    <col min="2" max="2" width="27.33203125" bestFit="1" customWidth="1"/>
  </cols>
  <sheetData>
    <row r="3" spans="1:2" x14ac:dyDescent="0.3">
      <c r="A3" s="3" t="s">
        <v>1061</v>
      </c>
      <c r="B3" t="s">
        <v>1062</v>
      </c>
    </row>
    <row r="4" spans="1:2" x14ac:dyDescent="0.3">
      <c r="A4" s="5" t="s">
        <v>46</v>
      </c>
      <c r="B4">
        <v>11441</v>
      </c>
    </row>
    <row r="5" spans="1:2" x14ac:dyDescent="0.3">
      <c r="A5" s="5" t="s">
        <v>27</v>
      </c>
      <c r="B5">
        <v>12882</v>
      </c>
    </row>
    <row r="6" spans="1:2" x14ac:dyDescent="0.3">
      <c r="A6" s="5" t="s">
        <v>40</v>
      </c>
      <c r="B6">
        <v>14540</v>
      </c>
    </row>
    <row r="7" spans="1:2" x14ac:dyDescent="0.3">
      <c r="A7" s="5" t="s">
        <v>105</v>
      </c>
      <c r="B7">
        <v>10779</v>
      </c>
    </row>
    <row r="8" spans="1:2" x14ac:dyDescent="0.3">
      <c r="A8" s="5" t="s">
        <v>20</v>
      </c>
      <c r="B8">
        <v>14121</v>
      </c>
    </row>
    <row r="9" spans="1:2" x14ac:dyDescent="0.3">
      <c r="A9" s="5" t="s">
        <v>33</v>
      </c>
      <c r="B9">
        <v>16952</v>
      </c>
    </row>
    <row r="10" spans="1:2" x14ac:dyDescent="0.3">
      <c r="A10" s="5" t="s">
        <v>55</v>
      </c>
      <c r="B10">
        <v>11376</v>
      </c>
    </row>
    <row r="11" spans="1:2" x14ac:dyDescent="0.3">
      <c r="A11" s="5" t="s">
        <v>79</v>
      </c>
      <c r="B11">
        <v>11728</v>
      </c>
    </row>
    <row r="12" spans="1:2" x14ac:dyDescent="0.3">
      <c r="A12" s="5" t="s">
        <v>93</v>
      </c>
      <c r="B12">
        <v>9263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3A55-A0E5-4DE2-A1C9-8D978A09B1FD}">
  <dimension ref="A3:B7"/>
  <sheetViews>
    <sheetView workbookViewId="0">
      <selection activeCell="N15" sqref="N15"/>
    </sheetView>
  </sheetViews>
  <sheetFormatPr defaultRowHeight="14.4" x14ac:dyDescent="0.3"/>
  <cols>
    <col min="1" max="1" width="12.5546875" bestFit="1" customWidth="1"/>
    <col min="2" max="2" width="27.33203125" bestFit="1" customWidth="1"/>
  </cols>
  <sheetData>
    <row r="3" spans="1:2" x14ac:dyDescent="0.3">
      <c r="A3" s="3" t="s">
        <v>1061</v>
      </c>
      <c r="B3" t="s">
        <v>1062</v>
      </c>
    </row>
    <row r="4" spans="1:2" x14ac:dyDescent="0.3">
      <c r="A4" s="5" t="s">
        <v>42</v>
      </c>
      <c r="B4">
        <v>23041</v>
      </c>
    </row>
    <row r="5" spans="1:2" x14ac:dyDescent="0.3">
      <c r="A5" s="5" t="s">
        <v>34</v>
      </c>
      <c r="B5">
        <v>22789</v>
      </c>
    </row>
    <row r="6" spans="1:2" x14ac:dyDescent="0.3">
      <c r="A6" s="5" t="s">
        <v>64</v>
      </c>
      <c r="B6">
        <v>43438</v>
      </c>
    </row>
    <row r="7" spans="1:2" x14ac:dyDescent="0.3">
      <c r="A7" s="5" t="s">
        <v>22</v>
      </c>
      <c r="B7">
        <v>23814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821E-EC73-4751-917E-B5DE5A6B1FF9}">
  <dimension ref="A3:B5"/>
  <sheetViews>
    <sheetView workbookViewId="0">
      <selection activeCell="M13" sqref="M13"/>
    </sheetView>
  </sheetViews>
  <sheetFormatPr defaultRowHeight="14.4" x14ac:dyDescent="0.3"/>
  <cols>
    <col min="1" max="1" width="12.5546875" bestFit="1" customWidth="1"/>
    <col min="2" max="2" width="27.33203125" bestFit="1" customWidth="1"/>
  </cols>
  <sheetData>
    <row r="3" spans="1:2" x14ac:dyDescent="0.3">
      <c r="A3" s="3" t="s">
        <v>1061</v>
      </c>
      <c r="B3" t="s">
        <v>1062</v>
      </c>
    </row>
    <row r="4" spans="1:2" x14ac:dyDescent="0.3">
      <c r="A4" s="5" t="s">
        <v>1065</v>
      </c>
      <c r="B4">
        <v>79978</v>
      </c>
    </row>
    <row r="5" spans="1:2" x14ac:dyDescent="0.3">
      <c r="A5" s="5" t="s">
        <v>1066</v>
      </c>
      <c r="B5">
        <v>33104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4F32-5EE4-417C-BA00-97974ACFF63F}">
  <dimension ref="A1:AZ271"/>
  <sheetViews>
    <sheetView showGridLines="0" zoomScale="64" zoomScaleNormal="64" workbookViewId="0">
      <selection activeCell="AG13" sqref="AG13"/>
    </sheetView>
  </sheetViews>
  <sheetFormatPr defaultRowHeight="14.4" x14ac:dyDescent="0.3"/>
  <sheetData>
    <row r="1" spans="1:52" ht="14.4" customHeight="1" x14ac:dyDescent="0.3">
      <c r="A1" s="10" t="s">
        <v>1067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7"/>
      <c r="AK1" s="7"/>
      <c r="AL1" s="7"/>
    </row>
    <row r="2" spans="1:52" ht="14.4"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7"/>
      <c r="AK2" s="7"/>
      <c r="AL2" s="7"/>
    </row>
    <row r="3" spans="1:52" ht="14.4" customHeight="1"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7"/>
      <c r="AK3" s="7"/>
      <c r="AL3" s="7"/>
    </row>
    <row r="4" spans="1:52" ht="14.4"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7"/>
      <c r="AK4" s="7"/>
      <c r="AL4" s="7"/>
    </row>
    <row r="5" spans="1:52"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8"/>
      <c r="AM5" s="6"/>
      <c r="AN5" s="6"/>
      <c r="AO5" s="6"/>
      <c r="AP5" s="6"/>
      <c r="AQ5" s="6"/>
      <c r="AR5" s="6"/>
      <c r="AS5" s="6"/>
      <c r="AT5" s="6"/>
      <c r="AU5" s="6"/>
      <c r="AV5" s="6"/>
      <c r="AW5" s="6"/>
      <c r="AX5" s="6"/>
      <c r="AY5" s="6"/>
      <c r="AZ5" s="6"/>
    </row>
    <row r="6" spans="1:52"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8"/>
      <c r="AM6" s="6"/>
      <c r="AN6" s="6"/>
      <c r="AO6" s="6"/>
      <c r="AP6" s="6"/>
      <c r="AQ6" s="6"/>
      <c r="AR6" s="6"/>
      <c r="AS6" s="6"/>
      <c r="AT6" s="6"/>
      <c r="AU6" s="6"/>
      <c r="AV6" s="6"/>
      <c r="AW6" s="6"/>
      <c r="AX6" s="6"/>
      <c r="AY6" s="6"/>
      <c r="AZ6" s="6"/>
    </row>
    <row r="7" spans="1:52"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8"/>
      <c r="AM7" s="6"/>
      <c r="AN7" s="6"/>
      <c r="AO7" s="6"/>
      <c r="AP7" s="6"/>
      <c r="AQ7" s="6"/>
      <c r="AR7" s="6"/>
      <c r="AS7" s="6"/>
      <c r="AT7" s="6"/>
      <c r="AU7" s="6"/>
      <c r="AV7" s="6"/>
      <c r="AW7" s="6"/>
      <c r="AX7" s="6"/>
      <c r="AY7" s="6"/>
      <c r="AZ7" s="6"/>
    </row>
    <row r="8" spans="1:52"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8"/>
      <c r="AM8" s="6"/>
      <c r="AN8" s="6"/>
      <c r="AO8" s="6"/>
      <c r="AP8" s="6"/>
      <c r="AQ8" s="6"/>
      <c r="AR8" s="6"/>
      <c r="AS8" s="6"/>
      <c r="AT8" s="6"/>
      <c r="AU8" s="6"/>
      <c r="AV8" s="6"/>
      <c r="AW8" s="6"/>
      <c r="AX8" s="6"/>
      <c r="AY8" s="6"/>
      <c r="AZ8" s="6"/>
    </row>
    <row r="9" spans="1:52"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8"/>
      <c r="AM9" s="6"/>
      <c r="AN9" s="6"/>
      <c r="AO9" s="6"/>
      <c r="AP9" s="6"/>
      <c r="AQ9" s="6"/>
      <c r="AR9" s="6"/>
      <c r="AS9" s="6"/>
      <c r="AT9" s="6"/>
      <c r="AU9" s="6"/>
      <c r="AV9" s="6"/>
      <c r="AW9" s="6"/>
      <c r="AX9" s="6"/>
      <c r="AY9" s="6"/>
      <c r="AZ9" s="6"/>
    </row>
    <row r="10" spans="1:52"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8"/>
      <c r="AM10" s="6"/>
      <c r="AN10" s="6"/>
      <c r="AO10" s="6"/>
      <c r="AP10" s="6"/>
      <c r="AQ10" s="6"/>
      <c r="AR10" s="6"/>
      <c r="AS10" s="6"/>
      <c r="AT10" s="6"/>
      <c r="AU10" s="6"/>
      <c r="AV10" s="6"/>
      <c r="AW10" s="6"/>
      <c r="AX10" s="6"/>
      <c r="AY10" s="6"/>
      <c r="AZ10" s="6"/>
    </row>
    <row r="11" spans="1:52"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8"/>
      <c r="AM11" s="6"/>
      <c r="AN11" s="6"/>
      <c r="AO11" s="6"/>
      <c r="AP11" s="6"/>
      <c r="AQ11" s="6"/>
      <c r="AR11" s="6"/>
      <c r="AS11" s="6"/>
      <c r="AT11" s="6"/>
      <c r="AU11" s="6"/>
      <c r="AV11" s="6"/>
      <c r="AW11" s="6"/>
      <c r="AX11" s="6"/>
      <c r="AY11" s="6"/>
      <c r="AZ11" s="6"/>
    </row>
    <row r="12" spans="1:52"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8"/>
      <c r="AM12" s="6"/>
      <c r="AN12" s="6"/>
      <c r="AO12" s="6"/>
      <c r="AP12" s="6"/>
      <c r="AQ12" s="6"/>
      <c r="AR12" s="6"/>
      <c r="AS12" s="6"/>
      <c r="AT12" s="6"/>
      <c r="AU12" s="6"/>
      <c r="AV12" s="6"/>
      <c r="AW12" s="6"/>
      <c r="AX12" s="6"/>
      <c r="AY12" s="6"/>
      <c r="AZ12" s="6"/>
    </row>
    <row r="13" spans="1:52"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8"/>
      <c r="AM13" s="6"/>
      <c r="AN13" s="6"/>
      <c r="AO13" s="6"/>
      <c r="AP13" s="6"/>
      <c r="AQ13" s="6"/>
      <c r="AR13" s="6"/>
      <c r="AS13" s="6"/>
      <c r="AT13" s="6"/>
      <c r="AU13" s="6"/>
      <c r="AV13" s="6"/>
      <c r="AW13" s="6"/>
      <c r="AX13" s="6"/>
      <c r="AY13" s="6"/>
      <c r="AZ13" s="6"/>
    </row>
    <row r="14" spans="1:52"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8"/>
      <c r="AM14" s="6"/>
      <c r="AN14" s="6"/>
      <c r="AO14" s="6"/>
      <c r="AP14" s="6"/>
      <c r="AQ14" s="6"/>
      <c r="AR14" s="6"/>
      <c r="AS14" s="6"/>
      <c r="AT14" s="6"/>
      <c r="AU14" s="6"/>
      <c r="AV14" s="6"/>
      <c r="AW14" s="6"/>
      <c r="AX14" s="6"/>
      <c r="AY14" s="6"/>
      <c r="AZ14" s="6"/>
    </row>
    <row r="15" spans="1:52"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8"/>
      <c r="AM15" s="6"/>
      <c r="AN15" s="6"/>
      <c r="AO15" s="6"/>
      <c r="AP15" s="6"/>
      <c r="AQ15" s="6"/>
      <c r="AR15" s="6"/>
      <c r="AS15" s="6"/>
      <c r="AT15" s="6"/>
      <c r="AU15" s="6"/>
      <c r="AV15" s="6"/>
      <c r="AW15" s="6"/>
      <c r="AX15" s="6"/>
      <c r="AY15" s="6"/>
      <c r="AZ15" s="6"/>
    </row>
    <row r="16" spans="1:52"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8"/>
      <c r="AM16" s="6"/>
      <c r="AN16" s="6"/>
      <c r="AO16" s="6"/>
      <c r="AP16" s="6"/>
      <c r="AQ16" s="6"/>
      <c r="AR16" s="6"/>
      <c r="AS16" s="6"/>
      <c r="AT16" s="6"/>
      <c r="AU16" s="6"/>
      <c r="AV16" s="6"/>
      <c r="AW16" s="6"/>
      <c r="AX16" s="6"/>
      <c r="AY16" s="6"/>
      <c r="AZ16" s="6"/>
    </row>
    <row r="17" spans="1:52"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8"/>
      <c r="AM17" s="6"/>
      <c r="AN17" s="6"/>
      <c r="AO17" s="6"/>
      <c r="AP17" s="6"/>
      <c r="AQ17" s="6"/>
      <c r="AR17" s="6"/>
      <c r="AS17" s="6"/>
      <c r="AT17" s="6"/>
      <c r="AU17" s="6"/>
      <c r="AV17" s="6"/>
      <c r="AW17" s="6"/>
      <c r="AX17" s="6"/>
      <c r="AY17" s="6"/>
      <c r="AZ17" s="6"/>
    </row>
    <row r="18" spans="1:52"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8"/>
      <c r="AM18" s="6"/>
      <c r="AN18" s="6"/>
      <c r="AO18" s="6"/>
      <c r="AP18" s="6"/>
      <c r="AQ18" s="6"/>
      <c r="AR18" s="6"/>
      <c r="AS18" s="6"/>
      <c r="AT18" s="6"/>
      <c r="AU18" s="6"/>
      <c r="AV18" s="6"/>
      <c r="AW18" s="6"/>
      <c r="AX18" s="6"/>
      <c r="AY18" s="6"/>
      <c r="AZ18" s="6"/>
    </row>
    <row r="19" spans="1:52"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8"/>
      <c r="AM19" s="6"/>
      <c r="AN19" s="6"/>
      <c r="AO19" s="6"/>
      <c r="AP19" s="6"/>
      <c r="AQ19" s="6"/>
      <c r="AR19" s="6"/>
      <c r="AS19" s="6"/>
      <c r="AT19" s="6"/>
      <c r="AU19" s="6"/>
      <c r="AV19" s="6"/>
      <c r="AW19" s="6"/>
      <c r="AX19" s="6"/>
      <c r="AY19" s="6"/>
      <c r="AZ19" s="6"/>
    </row>
    <row r="20" spans="1:52"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8"/>
      <c r="AM20" s="6"/>
      <c r="AN20" s="6"/>
      <c r="AO20" s="6"/>
      <c r="AP20" s="6"/>
      <c r="AQ20" s="6"/>
      <c r="AR20" s="6"/>
      <c r="AS20" s="6"/>
      <c r="AT20" s="6"/>
      <c r="AU20" s="6"/>
      <c r="AV20" s="6"/>
      <c r="AW20" s="6"/>
      <c r="AX20" s="6"/>
      <c r="AY20" s="6"/>
      <c r="AZ20" s="6"/>
    </row>
    <row r="21" spans="1:52"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8"/>
      <c r="AM21" s="6"/>
      <c r="AN21" s="6"/>
      <c r="AO21" s="6"/>
      <c r="AP21" s="6"/>
      <c r="AQ21" s="6"/>
      <c r="AR21" s="6"/>
      <c r="AS21" s="6"/>
      <c r="AT21" s="6"/>
      <c r="AU21" s="6"/>
      <c r="AV21" s="6"/>
      <c r="AW21" s="6"/>
      <c r="AX21" s="6"/>
      <c r="AY21" s="6"/>
      <c r="AZ21" s="6"/>
    </row>
    <row r="22" spans="1:52"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8"/>
      <c r="AM22" s="6"/>
      <c r="AN22" s="6"/>
      <c r="AO22" s="6"/>
      <c r="AP22" s="6"/>
      <c r="AQ22" s="6"/>
      <c r="AR22" s="6"/>
      <c r="AS22" s="6"/>
      <c r="AT22" s="6"/>
      <c r="AU22" s="6"/>
      <c r="AV22" s="6"/>
      <c r="AW22" s="6"/>
      <c r="AX22" s="6"/>
      <c r="AY22" s="6"/>
      <c r="AZ22" s="6"/>
    </row>
    <row r="23" spans="1:52"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8"/>
      <c r="AM23" s="6"/>
      <c r="AN23" s="6"/>
      <c r="AO23" s="6"/>
      <c r="AP23" s="6"/>
      <c r="AQ23" s="6"/>
      <c r="AR23" s="6"/>
      <c r="AS23" s="6"/>
      <c r="AT23" s="6"/>
      <c r="AU23" s="6"/>
      <c r="AV23" s="6"/>
      <c r="AW23" s="6"/>
      <c r="AX23" s="6"/>
      <c r="AY23" s="6"/>
      <c r="AZ23" s="6"/>
    </row>
    <row r="24" spans="1:52"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8"/>
      <c r="AM24" s="6"/>
      <c r="AN24" s="6"/>
      <c r="AO24" s="6"/>
      <c r="AP24" s="6"/>
      <c r="AQ24" s="6"/>
      <c r="AR24" s="6"/>
      <c r="AS24" s="6"/>
      <c r="AT24" s="6"/>
      <c r="AU24" s="6"/>
      <c r="AV24" s="6"/>
      <c r="AW24" s="6"/>
      <c r="AX24" s="6"/>
      <c r="AY24" s="6"/>
      <c r="AZ24" s="6"/>
    </row>
    <row r="25" spans="1:52"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8"/>
      <c r="AM25" s="6"/>
      <c r="AN25" s="6"/>
      <c r="AO25" s="6"/>
      <c r="AP25" s="6"/>
      <c r="AQ25" s="6"/>
      <c r="AR25" s="6"/>
      <c r="AS25" s="6"/>
      <c r="AT25" s="6"/>
      <c r="AU25" s="6"/>
      <c r="AV25" s="6"/>
      <c r="AW25" s="6"/>
      <c r="AX25" s="6"/>
      <c r="AY25" s="6"/>
      <c r="AZ25" s="6"/>
    </row>
    <row r="26" spans="1:52"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8"/>
      <c r="AM26" s="6"/>
      <c r="AN26" s="6"/>
      <c r="AO26" s="6"/>
      <c r="AP26" s="6"/>
      <c r="AQ26" s="6"/>
      <c r="AR26" s="6"/>
      <c r="AS26" s="6"/>
      <c r="AT26" s="6"/>
      <c r="AU26" s="6"/>
      <c r="AV26" s="6"/>
      <c r="AW26" s="6"/>
      <c r="AX26" s="6"/>
      <c r="AY26" s="6"/>
      <c r="AZ26" s="6"/>
    </row>
    <row r="27" spans="1:52"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8"/>
      <c r="AM27" s="6"/>
      <c r="AN27" s="6"/>
      <c r="AO27" s="6"/>
      <c r="AP27" s="6"/>
      <c r="AQ27" s="6"/>
      <c r="AR27" s="6"/>
      <c r="AS27" s="6"/>
      <c r="AT27" s="6"/>
      <c r="AU27" s="6"/>
      <c r="AV27" s="6"/>
      <c r="AW27" s="6"/>
      <c r="AX27" s="6"/>
      <c r="AY27" s="6"/>
      <c r="AZ27" s="6"/>
    </row>
    <row r="28" spans="1:52"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8"/>
      <c r="AM28" s="6"/>
      <c r="AN28" s="6"/>
      <c r="AO28" s="6"/>
      <c r="AP28" s="6"/>
      <c r="AQ28" s="6"/>
      <c r="AR28" s="6"/>
      <c r="AS28" s="6"/>
      <c r="AT28" s="6"/>
      <c r="AU28" s="6"/>
      <c r="AV28" s="6"/>
      <c r="AW28" s="6"/>
      <c r="AX28" s="6"/>
      <c r="AY28" s="6"/>
      <c r="AZ28" s="6"/>
    </row>
    <row r="29" spans="1:52"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8"/>
      <c r="AM29" s="6"/>
      <c r="AN29" s="6"/>
      <c r="AO29" s="6"/>
      <c r="AP29" s="6"/>
      <c r="AQ29" s="6"/>
      <c r="AR29" s="6"/>
      <c r="AS29" s="6"/>
      <c r="AT29" s="6"/>
      <c r="AU29" s="6"/>
      <c r="AV29" s="6"/>
      <c r="AW29" s="6"/>
      <c r="AX29" s="6"/>
      <c r="AY29" s="6"/>
      <c r="AZ29" s="6"/>
    </row>
    <row r="30" spans="1:52"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8"/>
      <c r="AM30" s="6"/>
      <c r="AN30" s="6"/>
      <c r="AO30" s="6"/>
      <c r="AP30" s="6"/>
      <c r="AQ30" s="6"/>
      <c r="AR30" s="6"/>
      <c r="AS30" s="6"/>
      <c r="AT30" s="6"/>
      <c r="AU30" s="6"/>
      <c r="AV30" s="6"/>
      <c r="AW30" s="6"/>
      <c r="AX30" s="6"/>
      <c r="AY30" s="6"/>
      <c r="AZ30" s="6"/>
    </row>
    <row r="31" spans="1:52"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8"/>
      <c r="AM31" s="6"/>
      <c r="AN31" s="6"/>
      <c r="AO31" s="6"/>
      <c r="AP31" s="6"/>
      <c r="AQ31" s="6"/>
      <c r="AR31" s="6"/>
      <c r="AS31" s="6"/>
      <c r="AT31" s="6"/>
      <c r="AU31" s="6"/>
      <c r="AV31" s="6"/>
      <c r="AW31" s="6"/>
      <c r="AX31" s="6"/>
      <c r="AY31" s="6"/>
      <c r="AZ31" s="6"/>
    </row>
    <row r="32" spans="1:52"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8"/>
      <c r="AM32" s="6"/>
      <c r="AN32" s="6"/>
      <c r="AO32" s="6"/>
      <c r="AP32" s="6"/>
      <c r="AQ32" s="6"/>
      <c r="AR32" s="6"/>
      <c r="AS32" s="6"/>
      <c r="AT32" s="6"/>
      <c r="AU32" s="6"/>
      <c r="AV32" s="6"/>
      <c r="AW32" s="6"/>
      <c r="AX32" s="6"/>
      <c r="AY32" s="6"/>
      <c r="AZ32" s="6"/>
    </row>
    <row r="33" spans="1:52"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8"/>
      <c r="AM33" s="6"/>
      <c r="AN33" s="6"/>
      <c r="AO33" s="6"/>
      <c r="AP33" s="6"/>
      <c r="AQ33" s="6"/>
      <c r="AR33" s="6"/>
      <c r="AS33" s="6"/>
      <c r="AT33" s="6"/>
      <c r="AU33" s="6"/>
      <c r="AV33" s="6"/>
      <c r="AW33" s="6"/>
      <c r="AX33" s="6"/>
      <c r="AY33" s="6"/>
      <c r="AZ33" s="6"/>
    </row>
    <row r="34" spans="1:52"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8"/>
      <c r="AM34" s="6"/>
      <c r="AN34" s="6"/>
      <c r="AO34" s="6"/>
      <c r="AP34" s="6"/>
      <c r="AQ34" s="6"/>
      <c r="AR34" s="6"/>
      <c r="AS34" s="6"/>
      <c r="AT34" s="6"/>
      <c r="AU34" s="6"/>
      <c r="AV34" s="6"/>
      <c r="AW34" s="6"/>
      <c r="AX34" s="6"/>
      <c r="AY34" s="6"/>
      <c r="AZ34" s="6"/>
    </row>
    <row r="35" spans="1:52"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8"/>
      <c r="AM35" s="6"/>
      <c r="AN35" s="6"/>
      <c r="AO35" s="6"/>
      <c r="AP35" s="6"/>
      <c r="AQ35" s="6"/>
      <c r="AR35" s="6"/>
      <c r="AS35" s="6"/>
      <c r="AT35" s="6"/>
      <c r="AU35" s="6"/>
      <c r="AV35" s="6"/>
      <c r="AW35" s="6"/>
      <c r="AX35" s="6"/>
      <c r="AY35" s="6"/>
      <c r="AZ35" s="6"/>
    </row>
    <row r="36" spans="1:52"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8"/>
      <c r="AM36" s="6"/>
      <c r="AN36" s="6"/>
      <c r="AO36" s="6"/>
      <c r="AP36" s="6"/>
      <c r="AQ36" s="6"/>
      <c r="AR36" s="6"/>
      <c r="AS36" s="6"/>
      <c r="AT36" s="6"/>
      <c r="AU36" s="6"/>
      <c r="AV36" s="6"/>
      <c r="AW36" s="6"/>
      <c r="AX36" s="6"/>
      <c r="AY36" s="6"/>
      <c r="AZ36" s="6"/>
    </row>
    <row r="37" spans="1:52"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8"/>
      <c r="AM37" s="6"/>
      <c r="AN37" s="6"/>
      <c r="AO37" s="6"/>
      <c r="AP37" s="6"/>
      <c r="AQ37" s="6"/>
      <c r="AR37" s="6"/>
      <c r="AS37" s="6"/>
      <c r="AT37" s="6"/>
      <c r="AU37" s="6"/>
      <c r="AV37" s="6"/>
      <c r="AW37" s="6"/>
      <c r="AX37" s="6"/>
      <c r="AY37" s="6"/>
      <c r="AZ37" s="6"/>
    </row>
    <row r="38" spans="1:52"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8"/>
      <c r="AM38" s="6"/>
      <c r="AN38" s="6"/>
      <c r="AO38" s="6"/>
      <c r="AP38" s="6"/>
      <c r="AQ38" s="6"/>
      <c r="AR38" s="6"/>
      <c r="AS38" s="6"/>
      <c r="AT38" s="6"/>
      <c r="AU38" s="6"/>
      <c r="AV38" s="6"/>
      <c r="AW38" s="6"/>
      <c r="AX38" s="6"/>
      <c r="AY38" s="6"/>
      <c r="AZ38" s="6"/>
    </row>
    <row r="39" spans="1:52"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8"/>
      <c r="AM39" s="6"/>
      <c r="AN39" s="6"/>
      <c r="AO39" s="6"/>
      <c r="AP39" s="6"/>
      <c r="AQ39" s="6"/>
      <c r="AR39" s="6"/>
      <c r="AS39" s="6"/>
      <c r="AT39" s="6"/>
      <c r="AU39" s="6"/>
      <c r="AV39" s="6"/>
      <c r="AW39" s="6"/>
      <c r="AX39" s="6"/>
      <c r="AY39" s="6"/>
      <c r="AZ39" s="6"/>
    </row>
    <row r="40" spans="1:52"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6"/>
      <c r="AN40" s="6"/>
      <c r="AO40" s="6"/>
      <c r="AP40" s="6"/>
      <c r="AQ40" s="6"/>
      <c r="AR40" s="6"/>
      <c r="AS40" s="6"/>
      <c r="AT40" s="6"/>
      <c r="AU40" s="6"/>
      <c r="AV40" s="6"/>
      <c r="AW40" s="6"/>
      <c r="AX40" s="6"/>
      <c r="AY40" s="6"/>
      <c r="AZ40" s="6"/>
    </row>
    <row r="41" spans="1:52"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6"/>
      <c r="AN41" s="6"/>
      <c r="AO41" s="6"/>
      <c r="AP41" s="6"/>
      <c r="AQ41" s="6"/>
      <c r="AR41" s="6"/>
      <c r="AS41" s="6"/>
      <c r="AT41" s="6"/>
      <c r="AU41" s="6"/>
      <c r="AV41" s="6"/>
      <c r="AW41" s="6"/>
      <c r="AX41" s="6"/>
      <c r="AY41" s="6"/>
      <c r="AZ41" s="6"/>
    </row>
    <row r="42" spans="1:52"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6"/>
      <c r="AN42" s="6"/>
      <c r="AO42" s="6"/>
      <c r="AP42" s="6"/>
      <c r="AQ42" s="6"/>
      <c r="AR42" s="6"/>
      <c r="AS42" s="6"/>
      <c r="AT42" s="6"/>
      <c r="AU42" s="6"/>
      <c r="AV42" s="6"/>
      <c r="AW42" s="6"/>
      <c r="AX42" s="6"/>
      <c r="AY42" s="6"/>
      <c r="AZ42" s="6"/>
    </row>
    <row r="43" spans="1:52"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6"/>
      <c r="AN43" s="6"/>
      <c r="AO43" s="6"/>
      <c r="AP43" s="6"/>
      <c r="AQ43" s="6"/>
      <c r="AR43" s="6"/>
      <c r="AS43" s="6"/>
      <c r="AT43" s="6"/>
      <c r="AU43" s="6"/>
      <c r="AV43" s="6"/>
      <c r="AW43" s="6"/>
      <c r="AX43" s="6"/>
      <c r="AY43" s="6"/>
      <c r="AZ43" s="6"/>
    </row>
    <row r="44" spans="1:52"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6"/>
      <c r="AN44" s="6"/>
      <c r="AO44" s="6"/>
      <c r="AP44" s="6"/>
      <c r="AQ44" s="6"/>
      <c r="AR44" s="6"/>
      <c r="AS44" s="6"/>
      <c r="AT44" s="6"/>
      <c r="AU44" s="6"/>
      <c r="AV44" s="6"/>
      <c r="AW44" s="6"/>
      <c r="AX44" s="6"/>
      <c r="AY44" s="6"/>
      <c r="AZ44" s="6"/>
    </row>
    <row r="45" spans="1:52"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6"/>
      <c r="AN45" s="6"/>
      <c r="AO45" s="6"/>
      <c r="AP45" s="6"/>
      <c r="AQ45" s="6"/>
      <c r="AR45" s="6"/>
      <c r="AS45" s="6"/>
      <c r="AT45" s="6"/>
      <c r="AU45" s="6"/>
      <c r="AV45" s="6"/>
      <c r="AW45" s="6"/>
      <c r="AX45" s="6"/>
      <c r="AY45" s="6"/>
      <c r="AZ45" s="6"/>
    </row>
    <row r="46" spans="1:52"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6"/>
      <c r="AN46" s="6"/>
      <c r="AO46" s="6"/>
      <c r="AP46" s="6"/>
      <c r="AQ46" s="6"/>
      <c r="AR46" s="6"/>
      <c r="AS46" s="6"/>
      <c r="AT46" s="6"/>
      <c r="AU46" s="6"/>
      <c r="AV46" s="6"/>
      <c r="AW46" s="6"/>
      <c r="AX46" s="6"/>
      <c r="AY46" s="6"/>
      <c r="AZ46" s="6"/>
    </row>
    <row r="47" spans="1:52"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6"/>
      <c r="AN47" s="6"/>
      <c r="AO47" s="6"/>
      <c r="AP47" s="6"/>
      <c r="AQ47" s="6"/>
      <c r="AR47" s="6"/>
      <c r="AS47" s="6"/>
      <c r="AT47" s="6"/>
      <c r="AU47" s="6"/>
      <c r="AV47" s="6"/>
      <c r="AW47" s="6"/>
      <c r="AX47" s="6"/>
      <c r="AY47" s="6"/>
      <c r="AZ47" s="6"/>
    </row>
    <row r="48" spans="1:52"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6"/>
      <c r="AN48" s="6"/>
      <c r="AO48" s="6"/>
      <c r="AP48" s="6"/>
      <c r="AQ48" s="6"/>
      <c r="AR48" s="6"/>
      <c r="AS48" s="6"/>
      <c r="AT48" s="6"/>
      <c r="AU48" s="6"/>
      <c r="AV48" s="6"/>
      <c r="AW48" s="6"/>
      <c r="AX48" s="6"/>
      <c r="AY48" s="6"/>
      <c r="AZ48" s="6"/>
    </row>
    <row r="49" spans="1:52"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6"/>
      <c r="AN49" s="6"/>
      <c r="AO49" s="6"/>
      <c r="AP49" s="6"/>
      <c r="AQ49" s="6"/>
      <c r="AR49" s="6"/>
      <c r="AS49" s="6"/>
      <c r="AT49" s="6"/>
      <c r="AU49" s="6"/>
      <c r="AV49" s="6"/>
      <c r="AW49" s="6"/>
      <c r="AX49" s="6"/>
      <c r="AY49" s="6"/>
      <c r="AZ49" s="6"/>
    </row>
    <row r="50" spans="1:52"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6"/>
      <c r="AN50" s="6"/>
      <c r="AO50" s="6"/>
      <c r="AP50" s="6"/>
      <c r="AQ50" s="6"/>
      <c r="AR50" s="6"/>
      <c r="AS50" s="6"/>
      <c r="AT50" s="6"/>
      <c r="AU50" s="6"/>
      <c r="AV50" s="6"/>
      <c r="AW50" s="6"/>
      <c r="AX50" s="6"/>
      <c r="AY50" s="6"/>
      <c r="AZ50" s="6"/>
    </row>
    <row r="51" spans="1:52"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6"/>
      <c r="AN51" s="6"/>
      <c r="AO51" s="6"/>
      <c r="AP51" s="6"/>
      <c r="AQ51" s="6"/>
      <c r="AR51" s="6"/>
      <c r="AS51" s="6"/>
      <c r="AT51" s="6"/>
      <c r="AU51" s="6"/>
      <c r="AV51" s="6"/>
      <c r="AW51" s="6"/>
      <c r="AX51" s="6"/>
      <c r="AY51" s="6"/>
      <c r="AZ51" s="6"/>
    </row>
    <row r="52" spans="1:52"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6"/>
      <c r="AN52" s="6"/>
      <c r="AO52" s="6"/>
      <c r="AP52" s="6"/>
      <c r="AQ52" s="6"/>
      <c r="AR52" s="6"/>
      <c r="AS52" s="6"/>
      <c r="AT52" s="6"/>
      <c r="AU52" s="6"/>
      <c r="AV52" s="6"/>
      <c r="AW52" s="6"/>
      <c r="AX52" s="6"/>
      <c r="AY52" s="6"/>
      <c r="AZ52" s="6"/>
    </row>
    <row r="53" spans="1:52"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6"/>
      <c r="AN53" s="6"/>
      <c r="AO53" s="6"/>
      <c r="AP53" s="6"/>
      <c r="AQ53" s="6"/>
      <c r="AR53" s="6"/>
      <c r="AS53" s="6"/>
      <c r="AT53" s="6"/>
      <c r="AU53" s="6"/>
      <c r="AV53" s="6"/>
      <c r="AW53" s="6"/>
      <c r="AX53" s="6"/>
      <c r="AY53" s="6"/>
      <c r="AZ53" s="6"/>
    </row>
    <row r="54" spans="1:52"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6"/>
      <c r="AN54" s="6"/>
      <c r="AO54" s="6"/>
      <c r="AP54" s="6"/>
      <c r="AQ54" s="6"/>
      <c r="AR54" s="6"/>
      <c r="AS54" s="6"/>
      <c r="AT54" s="6"/>
      <c r="AU54" s="6"/>
      <c r="AV54" s="6"/>
      <c r="AW54" s="6"/>
      <c r="AX54" s="6"/>
      <c r="AY54" s="6"/>
      <c r="AZ54" s="6"/>
    </row>
    <row r="55" spans="1:52"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6"/>
      <c r="AN55" s="6"/>
      <c r="AO55" s="6"/>
      <c r="AP55" s="6"/>
      <c r="AQ55" s="6"/>
      <c r="AR55" s="6"/>
      <c r="AS55" s="6"/>
      <c r="AT55" s="6"/>
      <c r="AU55" s="6"/>
      <c r="AV55" s="6"/>
      <c r="AW55" s="6"/>
      <c r="AX55" s="6"/>
      <c r="AY55" s="6"/>
      <c r="AZ55" s="6"/>
    </row>
    <row r="56" spans="1:52"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6"/>
      <c r="AN56" s="6"/>
      <c r="AO56" s="6"/>
      <c r="AP56" s="6"/>
      <c r="AQ56" s="6"/>
      <c r="AR56" s="6"/>
      <c r="AS56" s="6"/>
      <c r="AT56" s="6"/>
      <c r="AU56" s="6"/>
      <c r="AV56" s="6"/>
      <c r="AW56" s="6"/>
      <c r="AX56" s="6"/>
      <c r="AY56" s="6"/>
      <c r="AZ56" s="6"/>
    </row>
    <row r="57" spans="1:52"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6"/>
      <c r="AN57" s="6"/>
      <c r="AO57" s="6"/>
      <c r="AP57" s="6"/>
      <c r="AQ57" s="6"/>
      <c r="AR57" s="6"/>
      <c r="AS57" s="6"/>
      <c r="AT57" s="6"/>
      <c r="AU57" s="6"/>
      <c r="AV57" s="6"/>
      <c r="AW57" s="6"/>
      <c r="AX57" s="6"/>
      <c r="AY57" s="6"/>
      <c r="AZ57" s="6"/>
    </row>
    <row r="58" spans="1:52"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6"/>
      <c r="AN58" s="6"/>
      <c r="AO58" s="6"/>
      <c r="AP58" s="6"/>
      <c r="AQ58" s="6"/>
      <c r="AR58" s="6"/>
      <c r="AS58" s="6"/>
      <c r="AT58" s="6"/>
      <c r="AU58" s="6"/>
      <c r="AV58" s="6"/>
      <c r="AW58" s="6"/>
      <c r="AX58" s="6"/>
      <c r="AY58" s="6"/>
      <c r="AZ58" s="6"/>
    </row>
    <row r="59" spans="1:52"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6"/>
      <c r="AN59" s="6"/>
      <c r="AO59" s="6"/>
      <c r="AP59" s="6"/>
      <c r="AQ59" s="6"/>
      <c r="AR59" s="6"/>
      <c r="AS59" s="6"/>
      <c r="AT59" s="6"/>
      <c r="AU59" s="6"/>
      <c r="AV59" s="6"/>
      <c r="AW59" s="6"/>
      <c r="AX59" s="6"/>
      <c r="AY59" s="6"/>
      <c r="AZ59" s="6"/>
    </row>
    <row r="60" spans="1:52"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6"/>
      <c r="AN60" s="6"/>
      <c r="AO60" s="6"/>
      <c r="AP60" s="6"/>
      <c r="AQ60" s="6"/>
      <c r="AR60" s="6"/>
      <c r="AS60" s="6"/>
      <c r="AT60" s="6"/>
      <c r="AU60" s="6"/>
      <c r="AV60" s="6"/>
      <c r="AW60" s="6"/>
      <c r="AX60" s="6"/>
      <c r="AY60" s="6"/>
      <c r="AZ60" s="6"/>
    </row>
    <row r="61" spans="1:52"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6"/>
      <c r="AN61" s="6"/>
      <c r="AO61" s="6"/>
      <c r="AP61" s="6"/>
      <c r="AQ61" s="6"/>
      <c r="AR61" s="6"/>
      <c r="AS61" s="6"/>
      <c r="AT61" s="6"/>
      <c r="AU61" s="6"/>
      <c r="AV61" s="6"/>
      <c r="AW61" s="6"/>
      <c r="AX61" s="6"/>
      <c r="AY61" s="6"/>
      <c r="AZ61" s="6"/>
    </row>
    <row r="62" spans="1:52"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6"/>
      <c r="AN62" s="6"/>
      <c r="AO62" s="6"/>
      <c r="AP62" s="6"/>
      <c r="AQ62" s="6"/>
      <c r="AR62" s="6"/>
      <c r="AS62" s="6"/>
      <c r="AT62" s="6"/>
      <c r="AU62" s="6"/>
      <c r="AV62" s="6"/>
      <c r="AW62" s="6"/>
      <c r="AX62" s="6"/>
      <c r="AY62" s="6"/>
      <c r="AZ62" s="6"/>
    </row>
    <row r="63" spans="1:52"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6"/>
      <c r="AN63" s="6"/>
      <c r="AO63" s="6"/>
      <c r="AP63" s="6"/>
      <c r="AQ63" s="6"/>
      <c r="AR63" s="6"/>
      <c r="AS63" s="6"/>
      <c r="AT63" s="6"/>
      <c r="AU63" s="6"/>
      <c r="AV63" s="6"/>
      <c r="AW63" s="6"/>
      <c r="AX63" s="6"/>
      <c r="AY63" s="6"/>
      <c r="AZ63" s="6"/>
    </row>
    <row r="64" spans="1:52"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6"/>
      <c r="AN64" s="6"/>
      <c r="AO64" s="6"/>
      <c r="AP64" s="6"/>
      <c r="AQ64" s="6"/>
      <c r="AR64" s="6"/>
      <c r="AS64" s="6"/>
      <c r="AT64" s="6"/>
      <c r="AU64" s="6"/>
      <c r="AV64" s="6"/>
      <c r="AW64" s="6"/>
      <c r="AX64" s="6"/>
      <c r="AY64" s="6"/>
      <c r="AZ64" s="6"/>
    </row>
    <row r="65" spans="1:52"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6"/>
      <c r="AN65" s="6"/>
      <c r="AO65" s="6"/>
      <c r="AP65" s="6"/>
      <c r="AQ65" s="6"/>
      <c r="AR65" s="6"/>
      <c r="AS65" s="6"/>
      <c r="AT65" s="6"/>
      <c r="AU65" s="6"/>
      <c r="AV65" s="6"/>
      <c r="AW65" s="6"/>
      <c r="AX65" s="6"/>
      <c r="AY65" s="6"/>
      <c r="AZ65" s="6"/>
    </row>
    <row r="66" spans="1:52"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6"/>
      <c r="AN66" s="6"/>
      <c r="AO66" s="6"/>
      <c r="AP66" s="6"/>
      <c r="AQ66" s="6"/>
      <c r="AR66" s="6"/>
      <c r="AS66" s="6"/>
      <c r="AT66" s="6"/>
      <c r="AU66" s="6"/>
      <c r="AV66" s="6"/>
      <c r="AW66" s="6"/>
      <c r="AX66" s="6"/>
      <c r="AY66" s="6"/>
      <c r="AZ66" s="6"/>
    </row>
    <row r="67" spans="1:52"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6"/>
      <c r="AN67" s="6"/>
      <c r="AO67" s="6"/>
      <c r="AP67" s="6"/>
      <c r="AQ67" s="6"/>
      <c r="AR67" s="6"/>
      <c r="AS67" s="6"/>
      <c r="AT67" s="6"/>
      <c r="AU67" s="6"/>
      <c r="AV67" s="6"/>
      <c r="AW67" s="6"/>
      <c r="AX67" s="6"/>
      <c r="AY67" s="6"/>
      <c r="AZ67" s="6"/>
    </row>
    <row r="68" spans="1:52"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6"/>
      <c r="AN68" s="6"/>
      <c r="AO68" s="6"/>
      <c r="AP68" s="6"/>
      <c r="AQ68" s="6"/>
      <c r="AR68" s="6"/>
      <c r="AS68" s="6"/>
      <c r="AT68" s="6"/>
      <c r="AU68" s="6"/>
      <c r="AV68" s="6"/>
      <c r="AW68" s="6"/>
      <c r="AX68" s="6"/>
      <c r="AY68" s="6"/>
      <c r="AZ68" s="6"/>
    </row>
    <row r="69" spans="1:52"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6"/>
      <c r="AN69" s="6"/>
      <c r="AO69" s="6"/>
      <c r="AP69" s="6"/>
      <c r="AQ69" s="6"/>
      <c r="AR69" s="6"/>
      <c r="AS69" s="6"/>
      <c r="AT69" s="6"/>
      <c r="AU69" s="6"/>
      <c r="AV69" s="6"/>
      <c r="AW69" s="6"/>
      <c r="AX69" s="6"/>
      <c r="AY69" s="6"/>
      <c r="AZ69" s="6"/>
    </row>
    <row r="70" spans="1:52"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6"/>
      <c r="AN70" s="6"/>
      <c r="AO70" s="6"/>
      <c r="AP70" s="6"/>
      <c r="AQ70" s="6"/>
      <c r="AR70" s="6"/>
      <c r="AS70" s="6"/>
      <c r="AT70" s="6"/>
      <c r="AU70" s="6"/>
      <c r="AV70" s="6"/>
      <c r="AW70" s="6"/>
      <c r="AX70" s="6"/>
      <c r="AY70" s="6"/>
      <c r="AZ70" s="6"/>
    </row>
    <row r="71" spans="1:52"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6"/>
      <c r="AN71" s="6"/>
      <c r="AO71" s="6"/>
      <c r="AP71" s="6"/>
      <c r="AQ71" s="6"/>
      <c r="AR71" s="6"/>
      <c r="AS71" s="6"/>
      <c r="AT71" s="6"/>
      <c r="AU71" s="6"/>
      <c r="AV71" s="6"/>
      <c r="AW71" s="6"/>
      <c r="AX71" s="6"/>
      <c r="AY71" s="6"/>
      <c r="AZ71" s="6"/>
    </row>
    <row r="72" spans="1:52"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6"/>
      <c r="AN72" s="6"/>
      <c r="AO72" s="6"/>
      <c r="AP72" s="6"/>
      <c r="AQ72" s="6"/>
      <c r="AR72" s="6"/>
      <c r="AS72" s="6"/>
      <c r="AT72" s="6"/>
      <c r="AU72" s="6"/>
      <c r="AV72" s="6"/>
      <c r="AW72" s="6"/>
      <c r="AX72" s="6"/>
      <c r="AY72" s="6"/>
      <c r="AZ72" s="6"/>
    </row>
    <row r="73" spans="1:52"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6"/>
      <c r="AN73" s="6"/>
      <c r="AO73" s="6"/>
      <c r="AP73" s="6"/>
      <c r="AQ73" s="6"/>
      <c r="AR73" s="6"/>
      <c r="AS73" s="6"/>
      <c r="AT73" s="6"/>
      <c r="AU73" s="6"/>
      <c r="AV73" s="6"/>
      <c r="AW73" s="6"/>
      <c r="AX73" s="6"/>
      <c r="AY73" s="6"/>
      <c r="AZ73" s="6"/>
    </row>
    <row r="74" spans="1:52"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6"/>
      <c r="AN74" s="6"/>
      <c r="AO74" s="6"/>
      <c r="AP74" s="6"/>
      <c r="AQ74" s="6"/>
      <c r="AR74" s="6"/>
      <c r="AS74" s="6"/>
      <c r="AT74" s="6"/>
      <c r="AU74" s="6"/>
      <c r="AV74" s="6"/>
      <c r="AW74" s="6"/>
      <c r="AX74" s="6"/>
      <c r="AY74" s="6"/>
      <c r="AZ74" s="6"/>
    </row>
    <row r="75" spans="1:52"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6"/>
      <c r="AN75" s="6"/>
      <c r="AO75" s="6"/>
      <c r="AP75" s="6"/>
      <c r="AQ75" s="6"/>
      <c r="AR75" s="6"/>
      <c r="AS75" s="6"/>
      <c r="AT75" s="6"/>
      <c r="AU75" s="6"/>
      <c r="AV75" s="6"/>
      <c r="AW75" s="6"/>
      <c r="AX75" s="6"/>
      <c r="AY75" s="6"/>
      <c r="AZ75" s="6"/>
    </row>
    <row r="76" spans="1:52"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6"/>
      <c r="AN76" s="6"/>
      <c r="AO76" s="6"/>
      <c r="AP76" s="6"/>
      <c r="AQ76" s="6"/>
      <c r="AR76" s="6"/>
      <c r="AS76" s="6"/>
      <c r="AT76" s="6"/>
      <c r="AU76" s="6"/>
      <c r="AV76" s="6"/>
      <c r="AW76" s="6"/>
      <c r="AX76" s="6"/>
      <c r="AY76" s="6"/>
      <c r="AZ76" s="6"/>
    </row>
    <row r="77" spans="1:52"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6"/>
      <c r="AN77" s="6"/>
      <c r="AO77" s="6"/>
      <c r="AP77" s="6"/>
      <c r="AQ77" s="6"/>
      <c r="AR77" s="6"/>
      <c r="AS77" s="6"/>
      <c r="AT77" s="6"/>
      <c r="AU77" s="6"/>
      <c r="AV77" s="6"/>
      <c r="AW77" s="6"/>
      <c r="AX77" s="6"/>
      <c r="AY77" s="6"/>
      <c r="AZ77" s="6"/>
    </row>
    <row r="78" spans="1:52"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6"/>
      <c r="AN78" s="6"/>
      <c r="AO78" s="6"/>
      <c r="AP78" s="6"/>
      <c r="AQ78" s="6"/>
      <c r="AR78" s="6"/>
      <c r="AS78" s="6"/>
      <c r="AT78" s="6"/>
      <c r="AU78" s="6"/>
      <c r="AV78" s="6"/>
      <c r="AW78" s="6"/>
      <c r="AX78" s="6"/>
      <c r="AY78" s="6"/>
      <c r="AZ78" s="6"/>
    </row>
    <row r="79" spans="1:52"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6"/>
      <c r="AN79" s="6"/>
      <c r="AO79" s="6"/>
      <c r="AP79" s="6"/>
      <c r="AQ79" s="6"/>
      <c r="AR79" s="6"/>
      <c r="AS79" s="6"/>
      <c r="AT79" s="6"/>
      <c r="AU79" s="6"/>
      <c r="AV79" s="6"/>
      <c r="AW79" s="6"/>
      <c r="AX79" s="6"/>
      <c r="AY79" s="6"/>
      <c r="AZ79" s="6"/>
    </row>
    <row r="80" spans="1:52"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6"/>
      <c r="AN80" s="6"/>
      <c r="AO80" s="6"/>
      <c r="AP80" s="6"/>
      <c r="AQ80" s="6"/>
      <c r="AR80" s="6"/>
      <c r="AS80" s="6"/>
      <c r="AT80" s="6"/>
      <c r="AU80" s="6"/>
      <c r="AV80" s="6"/>
      <c r="AW80" s="6"/>
      <c r="AX80" s="6"/>
      <c r="AY80" s="6"/>
      <c r="AZ80" s="6"/>
    </row>
    <row r="81" spans="1:52"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6"/>
      <c r="AN81" s="6"/>
      <c r="AO81" s="6"/>
      <c r="AP81" s="6"/>
      <c r="AQ81" s="6"/>
      <c r="AR81" s="6"/>
      <c r="AS81" s="6"/>
      <c r="AT81" s="6"/>
      <c r="AU81" s="6"/>
      <c r="AV81" s="6"/>
      <c r="AW81" s="6"/>
      <c r="AX81" s="6"/>
      <c r="AY81" s="6"/>
      <c r="AZ81" s="6"/>
    </row>
    <row r="82" spans="1:52"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6"/>
      <c r="AN82" s="6"/>
      <c r="AO82" s="6"/>
      <c r="AP82" s="6"/>
      <c r="AQ82" s="6"/>
      <c r="AR82" s="6"/>
      <c r="AS82" s="6"/>
      <c r="AT82" s="6"/>
      <c r="AU82" s="6"/>
      <c r="AV82" s="6"/>
      <c r="AW82" s="6"/>
      <c r="AX82" s="6"/>
      <c r="AY82" s="6"/>
      <c r="AZ82" s="6"/>
    </row>
    <row r="83" spans="1:52"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6"/>
      <c r="AN83" s="6"/>
      <c r="AO83" s="6"/>
      <c r="AP83" s="6"/>
      <c r="AQ83" s="6"/>
      <c r="AR83" s="6"/>
      <c r="AS83" s="6"/>
      <c r="AT83" s="6"/>
      <c r="AU83" s="6"/>
      <c r="AV83" s="6"/>
      <c r="AW83" s="6"/>
      <c r="AX83" s="6"/>
      <c r="AY83" s="6"/>
      <c r="AZ83" s="6"/>
    </row>
    <row r="84" spans="1:52"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6"/>
      <c r="AN84" s="6"/>
      <c r="AO84" s="6"/>
      <c r="AP84" s="6"/>
      <c r="AQ84" s="6"/>
      <c r="AR84" s="6"/>
      <c r="AS84" s="6"/>
      <c r="AT84" s="6"/>
      <c r="AU84" s="6"/>
      <c r="AV84" s="6"/>
      <c r="AW84" s="6"/>
      <c r="AX84" s="6"/>
      <c r="AY84" s="6"/>
      <c r="AZ84" s="6"/>
    </row>
    <row r="85" spans="1:52"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6"/>
      <c r="AN85" s="6"/>
      <c r="AO85" s="6"/>
      <c r="AP85" s="6"/>
      <c r="AQ85" s="6"/>
      <c r="AR85" s="6"/>
      <c r="AS85" s="6"/>
      <c r="AT85" s="6"/>
      <c r="AU85" s="6"/>
      <c r="AV85" s="6"/>
      <c r="AW85" s="6"/>
      <c r="AX85" s="6"/>
      <c r="AY85" s="6"/>
      <c r="AZ85" s="6"/>
    </row>
    <row r="86" spans="1:52"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6"/>
      <c r="AN86" s="6"/>
      <c r="AO86" s="6"/>
      <c r="AP86" s="6"/>
      <c r="AQ86" s="6"/>
      <c r="AR86" s="6"/>
      <c r="AS86" s="6"/>
      <c r="AT86" s="6"/>
      <c r="AU86" s="6"/>
      <c r="AV86" s="6"/>
      <c r="AW86" s="6"/>
      <c r="AX86" s="6"/>
      <c r="AY86" s="6"/>
      <c r="AZ86" s="6"/>
    </row>
    <row r="87" spans="1:52"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6"/>
      <c r="AN87" s="6"/>
      <c r="AO87" s="6"/>
      <c r="AP87" s="6"/>
      <c r="AQ87" s="6"/>
      <c r="AR87" s="6"/>
      <c r="AS87" s="6"/>
      <c r="AT87" s="6"/>
      <c r="AU87" s="6"/>
      <c r="AV87" s="6"/>
      <c r="AW87" s="6"/>
      <c r="AX87" s="6"/>
      <c r="AY87" s="6"/>
      <c r="AZ87" s="6"/>
    </row>
    <row r="88" spans="1:52"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6"/>
      <c r="AN88" s="6"/>
      <c r="AO88" s="6"/>
      <c r="AP88" s="6"/>
      <c r="AQ88" s="6"/>
      <c r="AR88" s="6"/>
      <c r="AS88" s="6"/>
      <c r="AT88" s="6"/>
      <c r="AU88" s="6"/>
      <c r="AV88" s="6"/>
      <c r="AW88" s="6"/>
      <c r="AX88" s="6"/>
      <c r="AY88" s="6"/>
      <c r="AZ88" s="6"/>
    </row>
    <row r="89" spans="1:52"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6"/>
      <c r="AN89" s="6"/>
      <c r="AO89" s="6"/>
      <c r="AP89" s="6"/>
      <c r="AQ89" s="6"/>
      <c r="AR89" s="6"/>
      <c r="AS89" s="6"/>
      <c r="AT89" s="6"/>
      <c r="AU89" s="6"/>
      <c r="AV89" s="6"/>
      <c r="AW89" s="6"/>
      <c r="AX89" s="6"/>
      <c r="AY89" s="6"/>
      <c r="AZ89" s="6"/>
    </row>
    <row r="90" spans="1:52"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6"/>
      <c r="AN90" s="6"/>
      <c r="AO90" s="6"/>
      <c r="AP90" s="6"/>
      <c r="AQ90" s="6"/>
      <c r="AR90" s="6"/>
      <c r="AS90" s="6"/>
      <c r="AT90" s="6"/>
      <c r="AU90" s="6"/>
      <c r="AV90" s="6"/>
      <c r="AW90" s="6"/>
      <c r="AX90" s="6"/>
      <c r="AY90" s="6"/>
      <c r="AZ90" s="6"/>
    </row>
    <row r="91" spans="1:52"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6"/>
      <c r="AN91" s="6"/>
      <c r="AO91" s="6"/>
      <c r="AP91" s="6"/>
      <c r="AQ91" s="6"/>
      <c r="AR91" s="6"/>
      <c r="AS91" s="6"/>
      <c r="AT91" s="6"/>
      <c r="AU91" s="6"/>
      <c r="AV91" s="6"/>
      <c r="AW91" s="6"/>
      <c r="AX91" s="6"/>
      <c r="AY91" s="6"/>
      <c r="AZ91" s="6"/>
    </row>
    <row r="92" spans="1:52"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6"/>
      <c r="AN92" s="6"/>
      <c r="AO92" s="6"/>
      <c r="AP92" s="6"/>
      <c r="AQ92" s="6"/>
      <c r="AR92" s="6"/>
      <c r="AS92" s="6"/>
      <c r="AT92" s="6"/>
      <c r="AU92" s="6"/>
      <c r="AV92" s="6"/>
      <c r="AW92" s="6"/>
      <c r="AX92" s="6"/>
      <c r="AY92" s="6"/>
      <c r="AZ92" s="6"/>
    </row>
    <row r="93" spans="1:52"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6"/>
      <c r="AN93" s="6"/>
      <c r="AO93" s="6"/>
      <c r="AP93" s="6"/>
      <c r="AQ93" s="6"/>
      <c r="AR93" s="6"/>
      <c r="AS93" s="6"/>
      <c r="AT93" s="6"/>
      <c r="AU93" s="6"/>
      <c r="AV93" s="6"/>
      <c r="AW93" s="6"/>
      <c r="AX93" s="6"/>
      <c r="AY93" s="6"/>
      <c r="AZ93" s="6"/>
    </row>
    <row r="94" spans="1:52"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6"/>
      <c r="AN94" s="6"/>
      <c r="AO94" s="6"/>
      <c r="AP94" s="6"/>
      <c r="AQ94" s="6"/>
      <c r="AR94" s="6"/>
      <c r="AS94" s="6"/>
      <c r="AT94" s="6"/>
      <c r="AU94" s="6"/>
      <c r="AV94" s="6"/>
      <c r="AW94" s="6"/>
      <c r="AX94" s="6"/>
      <c r="AY94" s="6"/>
      <c r="AZ94" s="6"/>
    </row>
    <row r="95" spans="1:52"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6"/>
      <c r="AN95" s="6"/>
      <c r="AO95" s="6"/>
      <c r="AP95" s="6"/>
      <c r="AQ95" s="6"/>
      <c r="AR95" s="6"/>
      <c r="AS95" s="6"/>
      <c r="AT95" s="6"/>
      <c r="AU95" s="6"/>
      <c r="AV95" s="6"/>
      <c r="AW95" s="6"/>
      <c r="AX95" s="6"/>
      <c r="AY95" s="6"/>
      <c r="AZ95" s="6"/>
    </row>
    <row r="96" spans="1:52"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6"/>
      <c r="AN96" s="6"/>
      <c r="AO96" s="6"/>
      <c r="AP96" s="6"/>
      <c r="AQ96" s="6"/>
      <c r="AR96" s="6"/>
      <c r="AS96" s="6"/>
      <c r="AT96" s="6"/>
      <c r="AU96" s="6"/>
      <c r="AV96" s="6"/>
      <c r="AW96" s="6"/>
      <c r="AX96" s="6"/>
      <c r="AY96" s="6"/>
      <c r="AZ96" s="6"/>
    </row>
    <row r="97" spans="1:52"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6"/>
      <c r="AN97" s="6"/>
      <c r="AO97" s="6"/>
      <c r="AP97" s="6"/>
      <c r="AQ97" s="6"/>
      <c r="AR97" s="6"/>
      <c r="AS97" s="6"/>
      <c r="AT97" s="6"/>
      <c r="AU97" s="6"/>
      <c r="AV97" s="6"/>
      <c r="AW97" s="6"/>
      <c r="AX97" s="6"/>
      <c r="AY97" s="6"/>
      <c r="AZ97" s="6"/>
    </row>
    <row r="98" spans="1:52"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6"/>
      <c r="AN98" s="6"/>
      <c r="AO98" s="6"/>
      <c r="AP98" s="6"/>
      <c r="AQ98" s="6"/>
      <c r="AR98" s="6"/>
      <c r="AS98" s="6"/>
      <c r="AT98" s="6"/>
      <c r="AU98" s="6"/>
      <c r="AV98" s="6"/>
      <c r="AW98" s="6"/>
      <c r="AX98" s="6"/>
      <c r="AY98" s="6"/>
      <c r="AZ98" s="6"/>
    </row>
    <row r="99" spans="1:52"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6"/>
      <c r="AN99" s="6"/>
      <c r="AO99" s="6"/>
      <c r="AP99" s="6"/>
      <c r="AQ99" s="6"/>
      <c r="AR99" s="6"/>
      <c r="AS99" s="6"/>
      <c r="AT99" s="6"/>
      <c r="AU99" s="6"/>
      <c r="AV99" s="6"/>
      <c r="AW99" s="6"/>
      <c r="AX99" s="6"/>
      <c r="AY99" s="6"/>
      <c r="AZ99" s="6"/>
    </row>
    <row r="100" spans="1:52"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6"/>
      <c r="AN100" s="6"/>
      <c r="AO100" s="6"/>
      <c r="AP100" s="6"/>
      <c r="AQ100" s="6"/>
      <c r="AR100" s="6"/>
      <c r="AS100" s="6"/>
      <c r="AT100" s="6"/>
      <c r="AU100" s="6"/>
      <c r="AV100" s="6"/>
      <c r="AW100" s="6"/>
      <c r="AX100" s="6"/>
      <c r="AY100" s="6"/>
      <c r="AZ100" s="6"/>
    </row>
    <row r="101" spans="1:52"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6"/>
      <c r="AN101" s="6"/>
      <c r="AO101" s="6"/>
      <c r="AP101" s="6"/>
      <c r="AQ101" s="6"/>
      <c r="AR101" s="6"/>
      <c r="AS101" s="6"/>
      <c r="AT101" s="6"/>
      <c r="AU101" s="6"/>
      <c r="AV101" s="6"/>
      <c r="AW101" s="6"/>
      <c r="AX101" s="6"/>
      <c r="AY101" s="6"/>
      <c r="AZ101" s="6"/>
    </row>
    <row r="102" spans="1:52"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6"/>
      <c r="AN102" s="6"/>
      <c r="AO102" s="6"/>
      <c r="AP102" s="6"/>
      <c r="AQ102" s="6"/>
      <c r="AR102" s="6"/>
      <c r="AS102" s="6"/>
      <c r="AT102" s="6"/>
      <c r="AU102" s="6"/>
      <c r="AV102" s="6"/>
      <c r="AW102" s="6"/>
      <c r="AX102" s="6"/>
      <c r="AY102" s="6"/>
      <c r="AZ102" s="6"/>
    </row>
    <row r="103" spans="1:52"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6"/>
      <c r="AN103" s="6"/>
      <c r="AO103" s="6"/>
      <c r="AP103" s="6"/>
      <c r="AQ103" s="6"/>
      <c r="AR103" s="6"/>
      <c r="AS103" s="6"/>
      <c r="AT103" s="6"/>
      <c r="AU103" s="6"/>
      <c r="AV103" s="6"/>
      <c r="AW103" s="6"/>
      <c r="AX103" s="6"/>
      <c r="AY103" s="6"/>
      <c r="AZ103" s="6"/>
    </row>
    <row r="104" spans="1:52"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6"/>
      <c r="AN104" s="6"/>
      <c r="AO104" s="6"/>
      <c r="AP104" s="6"/>
      <c r="AQ104" s="6"/>
      <c r="AR104" s="6"/>
      <c r="AS104" s="6"/>
      <c r="AT104" s="6"/>
      <c r="AU104" s="6"/>
      <c r="AV104" s="6"/>
      <c r="AW104" s="6"/>
      <c r="AX104" s="6"/>
      <c r="AY104" s="6"/>
      <c r="AZ104" s="6"/>
    </row>
    <row r="105" spans="1:52"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6"/>
      <c r="AN105" s="6"/>
      <c r="AO105" s="6"/>
      <c r="AP105" s="6"/>
      <c r="AQ105" s="6"/>
      <c r="AR105" s="6"/>
      <c r="AS105" s="6"/>
      <c r="AT105" s="6"/>
      <c r="AU105" s="6"/>
      <c r="AV105" s="6"/>
      <c r="AW105" s="6"/>
      <c r="AX105" s="6"/>
      <c r="AY105" s="6"/>
      <c r="AZ105" s="6"/>
    </row>
    <row r="106" spans="1:52"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6"/>
      <c r="AN106" s="6"/>
      <c r="AO106" s="6"/>
      <c r="AP106" s="6"/>
      <c r="AQ106" s="6"/>
      <c r="AR106" s="6"/>
      <c r="AS106" s="6"/>
      <c r="AT106" s="6"/>
      <c r="AU106" s="6"/>
      <c r="AV106" s="6"/>
      <c r="AW106" s="6"/>
      <c r="AX106" s="6"/>
      <c r="AY106" s="6"/>
      <c r="AZ106" s="6"/>
    </row>
    <row r="107" spans="1:52"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6"/>
      <c r="AN107" s="6"/>
      <c r="AO107" s="6"/>
      <c r="AP107" s="6"/>
      <c r="AQ107" s="6"/>
      <c r="AR107" s="6"/>
      <c r="AS107" s="6"/>
      <c r="AT107" s="6"/>
      <c r="AU107" s="6"/>
      <c r="AV107" s="6"/>
      <c r="AW107" s="6"/>
      <c r="AX107" s="6"/>
      <c r="AY107" s="6"/>
      <c r="AZ107" s="6"/>
    </row>
    <row r="108" spans="1:52"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6"/>
      <c r="AN108" s="6"/>
      <c r="AO108" s="6"/>
      <c r="AP108" s="6"/>
      <c r="AQ108" s="6"/>
      <c r="AR108" s="6"/>
      <c r="AS108" s="6"/>
      <c r="AT108" s="6"/>
      <c r="AU108" s="6"/>
      <c r="AV108" s="6"/>
      <c r="AW108" s="6"/>
      <c r="AX108" s="6"/>
      <c r="AY108" s="6"/>
      <c r="AZ108" s="6"/>
    </row>
    <row r="109" spans="1:52"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6"/>
      <c r="AN109" s="6"/>
      <c r="AO109" s="6"/>
      <c r="AP109" s="6"/>
      <c r="AQ109" s="6"/>
      <c r="AR109" s="6"/>
      <c r="AS109" s="6"/>
      <c r="AT109" s="6"/>
      <c r="AU109" s="6"/>
      <c r="AV109" s="6"/>
      <c r="AW109" s="6"/>
      <c r="AX109" s="6"/>
      <c r="AY109" s="6"/>
      <c r="AZ109" s="6"/>
    </row>
    <row r="110" spans="1:52"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6"/>
      <c r="AN110" s="6"/>
      <c r="AO110" s="6"/>
      <c r="AP110" s="6"/>
      <c r="AQ110" s="6"/>
      <c r="AR110" s="6"/>
      <c r="AS110" s="6"/>
      <c r="AT110" s="6"/>
      <c r="AU110" s="6"/>
      <c r="AV110" s="6"/>
      <c r="AW110" s="6"/>
      <c r="AX110" s="6"/>
      <c r="AY110" s="6"/>
      <c r="AZ110" s="6"/>
    </row>
    <row r="111" spans="1:52"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6"/>
      <c r="AN111" s="6"/>
      <c r="AO111" s="6"/>
      <c r="AP111" s="6"/>
      <c r="AQ111" s="6"/>
      <c r="AR111" s="6"/>
      <c r="AS111" s="6"/>
      <c r="AT111" s="6"/>
      <c r="AU111" s="6"/>
      <c r="AV111" s="6"/>
      <c r="AW111" s="6"/>
      <c r="AX111" s="6"/>
      <c r="AY111" s="6"/>
      <c r="AZ111" s="6"/>
    </row>
    <row r="112" spans="1:52"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6"/>
      <c r="AN112" s="6"/>
      <c r="AO112" s="6"/>
      <c r="AP112" s="6"/>
      <c r="AQ112" s="6"/>
      <c r="AR112" s="6"/>
      <c r="AS112" s="6"/>
      <c r="AT112" s="6"/>
      <c r="AU112" s="6"/>
      <c r="AV112" s="6"/>
      <c r="AW112" s="6"/>
      <c r="AX112" s="6"/>
      <c r="AY112" s="6"/>
      <c r="AZ112" s="6"/>
    </row>
    <row r="113" spans="1:52"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6"/>
      <c r="AN113" s="6"/>
      <c r="AO113" s="6"/>
      <c r="AP113" s="6"/>
      <c r="AQ113" s="6"/>
      <c r="AR113" s="6"/>
      <c r="AS113" s="6"/>
      <c r="AT113" s="6"/>
      <c r="AU113" s="6"/>
      <c r="AV113" s="6"/>
      <c r="AW113" s="6"/>
      <c r="AX113" s="6"/>
      <c r="AY113" s="6"/>
      <c r="AZ113" s="6"/>
    </row>
    <row r="114" spans="1:52"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6"/>
      <c r="AN114" s="6"/>
      <c r="AO114" s="6"/>
      <c r="AP114" s="6"/>
      <c r="AQ114" s="6"/>
      <c r="AR114" s="6"/>
      <c r="AS114" s="6"/>
      <c r="AT114" s="6"/>
      <c r="AU114" s="6"/>
      <c r="AV114" s="6"/>
      <c r="AW114" s="6"/>
      <c r="AX114" s="6"/>
      <c r="AY114" s="6"/>
      <c r="AZ114" s="6"/>
    </row>
    <row r="115" spans="1:52"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6"/>
      <c r="AN115" s="6"/>
      <c r="AO115" s="6"/>
      <c r="AP115" s="6"/>
      <c r="AQ115" s="6"/>
      <c r="AR115" s="6"/>
      <c r="AS115" s="6"/>
      <c r="AT115" s="6"/>
      <c r="AU115" s="6"/>
      <c r="AV115" s="6"/>
      <c r="AW115" s="6"/>
      <c r="AX115" s="6"/>
      <c r="AY115" s="6"/>
      <c r="AZ115" s="6"/>
    </row>
    <row r="116" spans="1:52"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6"/>
      <c r="AN116" s="6"/>
      <c r="AO116" s="6"/>
      <c r="AP116" s="6"/>
      <c r="AQ116" s="6"/>
      <c r="AR116" s="6"/>
      <c r="AS116" s="6"/>
      <c r="AT116" s="6"/>
      <c r="AU116" s="6"/>
      <c r="AV116" s="6"/>
      <c r="AW116" s="6"/>
      <c r="AX116" s="6"/>
      <c r="AY116" s="6"/>
      <c r="AZ116" s="6"/>
    </row>
    <row r="117" spans="1:52"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6"/>
      <c r="AN117" s="6"/>
      <c r="AO117" s="6"/>
      <c r="AP117" s="6"/>
      <c r="AQ117" s="6"/>
      <c r="AR117" s="6"/>
      <c r="AS117" s="6"/>
      <c r="AT117" s="6"/>
      <c r="AU117" s="6"/>
      <c r="AV117" s="6"/>
      <c r="AW117" s="6"/>
      <c r="AX117" s="6"/>
      <c r="AY117" s="6"/>
      <c r="AZ117" s="6"/>
    </row>
    <row r="118" spans="1:52"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6"/>
      <c r="AN118" s="6"/>
      <c r="AO118" s="6"/>
      <c r="AP118" s="6"/>
      <c r="AQ118" s="6"/>
      <c r="AR118" s="6"/>
      <c r="AS118" s="6"/>
      <c r="AT118" s="6"/>
      <c r="AU118" s="6"/>
      <c r="AV118" s="6"/>
      <c r="AW118" s="6"/>
      <c r="AX118" s="6"/>
      <c r="AY118" s="6"/>
      <c r="AZ118" s="6"/>
    </row>
    <row r="119" spans="1:52"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6"/>
      <c r="AN119" s="6"/>
      <c r="AO119" s="6"/>
      <c r="AP119" s="6"/>
      <c r="AQ119" s="6"/>
      <c r="AR119" s="6"/>
      <c r="AS119" s="6"/>
      <c r="AT119" s="6"/>
      <c r="AU119" s="6"/>
      <c r="AV119" s="6"/>
      <c r="AW119" s="6"/>
      <c r="AX119" s="6"/>
      <c r="AY119" s="6"/>
      <c r="AZ119" s="6"/>
    </row>
    <row r="120" spans="1:52"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6"/>
      <c r="AN120" s="6"/>
      <c r="AO120" s="6"/>
      <c r="AP120" s="6"/>
      <c r="AQ120" s="6"/>
      <c r="AR120" s="6"/>
      <c r="AS120" s="6"/>
      <c r="AT120" s="6"/>
      <c r="AU120" s="6"/>
      <c r="AV120" s="6"/>
      <c r="AW120" s="6"/>
      <c r="AX120" s="6"/>
      <c r="AY120" s="6"/>
      <c r="AZ120" s="6"/>
    </row>
    <row r="121" spans="1:52"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6"/>
      <c r="AN121" s="6"/>
      <c r="AO121" s="6"/>
      <c r="AP121" s="6"/>
      <c r="AQ121" s="6"/>
      <c r="AR121" s="6"/>
      <c r="AS121" s="6"/>
      <c r="AT121" s="6"/>
      <c r="AU121" s="6"/>
      <c r="AV121" s="6"/>
      <c r="AW121" s="6"/>
      <c r="AX121" s="6"/>
      <c r="AY121" s="6"/>
      <c r="AZ121" s="6"/>
    </row>
    <row r="122" spans="1:52"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6"/>
      <c r="AN122" s="6"/>
      <c r="AO122" s="6"/>
      <c r="AP122" s="6"/>
      <c r="AQ122" s="6"/>
      <c r="AR122" s="6"/>
      <c r="AS122" s="6"/>
      <c r="AT122" s="6"/>
      <c r="AU122" s="6"/>
      <c r="AV122" s="6"/>
      <c r="AW122" s="6"/>
      <c r="AX122" s="6"/>
      <c r="AY122" s="6"/>
      <c r="AZ122" s="6"/>
    </row>
    <row r="123" spans="1:52"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6"/>
      <c r="AN123" s="6"/>
      <c r="AO123" s="6"/>
      <c r="AP123" s="6"/>
      <c r="AQ123" s="6"/>
      <c r="AR123" s="6"/>
      <c r="AS123" s="6"/>
      <c r="AT123" s="6"/>
      <c r="AU123" s="6"/>
      <c r="AV123" s="6"/>
      <c r="AW123" s="6"/>
      <c r="AX123" s="6"/>
      <c r="AY123" s="6"/>
      <c r="AZ123" s="6"/>
    </row>
    <row r="124" spans="1:52"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6"/>
      <c r="AN124" s="6"/>
      <c r="AO124" s="6"/>
      <c r="AP124" s="6"/>
      <c r="AQ124" s="6"/>
      <c r="AR124" s="6"/>
      <c r="AS124" s="6"/>
      <c r="AT124" s="6"/>
      <c r="AU124" s="6"/>
      <c r="AV124" s="6"/>
      <c r="AW124" s="6"/>
      <c r="AX124" s="6"/>
      <c r="AY124" s="6"/>
      <c r="AZ124" s="6"/>
    </row>
    <row r="125" spans="1:52"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6"/>
      <c r="AN125" s="6"/>
      <c r="AO125" s="6"/>
      <c r="AP125" s="6"/>
      <c r="AQ125" s="6"/>
      <c r="AR125" s="6"/>
      <c r="AS125" s="6"/>
      <c r="AT125" s="6"/>
      <c r="AU125" s="6"/>
      <c r="AV125" s="6"/>
      <c r="AW125" s="6"/>
      <c r="AX125" s="6"/>
      <c r="AY125" s="6"/>
      <c r="AZ125" s="6"/>
    </row>
    <row r="126" spans="1:52"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6"/>
      <c r="AN126" s="6"/>
      <c r="AO126" s="6"/>
      <c r="AP126" s="6"/>
      <c r="AQ126" s="6"/>
      <c r="AR126" s="6"/>
      <c r="AS126" s="6"/>
      <c r="AT126" s="6"/>
      <c r="AU126" s="6"/>
      <c r="AV126" s="6"/>
      <c r="AW126" s="6"/>
      <c r="AX126" s="6"/>
      <c r="AY126" s="6"/>
      <c r="AZ126" s="6"/>
    </row>
    <row r="127" spans="1:52"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6"/>
      <c r="AN127" s="6"/>
      <c r="AO127" s="6"/>
      <c r="AP127" s="6"/>
      <c r="AQ127" s="6"/>
      <c r="AR127" s="6"/>
      <c r="AS127" s="6"/>
      <c r="AT127" s="6"/>
      <c r="AU127" s="6"/>
      <c r="AV127" s="6"/>
      <c r="AW127" s="6"/>
      <c r="AX127" s="6"/>
      <c r="AY127" s="6"/>
      <c r="AZ127" s="6"/>
    </row>
    <row r="128" spans="1:52"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6"/>
      <c r="AN128" s="6"/>
      <c r="AO128" s="6"/>
      <c r="AP128" s="6"/>
      <c r="AQ128" s="6"/>
      <c r="AR128" s="6"/>
      <c r="AS128" s="6"/>
      <c r="AT128" s="6"/>
      <c r="AU128" s="6"/>
      <c r="AV128" s="6"/>
      <c r="AW128" s="6"/>
      <c r="AX128" s="6"/>
      <c r="AY128" s="6"/>
      <c r="AZ128" s="6"/>
    </row>
    <row r="129" spans="1:52"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row>
    <row r="130" spans="1:52"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row>
    <row r="131" spans="1:52"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row>
    <row r="132" spans="1:52"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row>
    <row r="133" spans="1:52"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row>
    <row r="134" spans="1:52"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row>
    <row r="135" spans="1:52"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row>
    <row r="136" spans="1:52"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row>
    <row r="137" spans="1:52"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row>
    <row r="138" spans="1:52"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row>
    <row r="139" spans="1:52"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row>
    <row r="140" spans="1:52"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row>
    <row r="141" spans="1:52"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row>
    <row r="142" spans="1:52"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row>
    <row r="143" spans="1:52"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row>
    <row r="144" spans="1:52"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row>
    <row r="145" spans="1:52"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row>
    <row r="146" spans="1:52"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row>
    <row r="147" spans="1:52"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row>
    <row r="148" spans="1:52"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row>
    <row r="149" spans="1:52"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row>
    <row r="150" spans="1:52"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row>
    <row r="151" spans="1:52"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row>
    <row r="152" spans="1:52"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row>
    <row r="153" spans="1:52"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row>
    <row r="154" spans="1:52"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row>
    <row r="155" spans="1:52"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row>
    <row r="156" spans="1:52"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row>
    <row r="157" spans="1:52"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row>
    <row r="158" spans="1:52"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row>
    <row r="159" spans="1:52"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row>
    <row r="160" spans="1:52"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row>
    <row r="161" spans="1:52"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row>
    <row r="162" spans="1:52"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row>
    <row r="163" spans="1:52"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row>
    <row r="164" spans="1:52"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row>
    <row r="165" spans="1:52"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row>
    <row r="166" spans="1:52"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row>
    <row r="167" spans="1:52"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row>
    <row r="168" spans="1:52"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row>
    <row r="169" spans="1:52"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row>
    <row r="170" spans="1:52"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row>
    <row r="171" spans="1:52"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row>
    <row r="172" spans="1:52"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row>
    <row r="173" spans="1:52"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row>
    <row r="174" spans="1:52"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row>
    <row r="175" spans="1:52"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row>
    <row r="176" spans="1:52"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row>
    <row r="177" spans="1:52"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row>
    <row r="178" spans="1:52"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row>
    <row r="179" spans="1:52"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row>
    <row r="180" spans="1:52"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row>
    <row r="181" spans="1:52"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row>
    <row r="182" spans="1:52"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row>
    <row r="183" spans="1:52"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row>
    <row r="184" spans="1:52"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row>
    <row r="185" spans="1:52"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row>
    <row r="186" spans="1:52"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row>
    <row r="187" spans="1:52"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row>
    <row r="188" spans="1:52"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row>
    <row r="189" spans="1:52"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row>
    <row r="190" spans="1:52"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row>
    <row r="191" spans="1:52"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row>
    <row r="192" spans="1:52"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row>
    <row r="193" spans="1:52"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row>
    <row r="194" spans="1:52"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row>
    <row r="195" spans="1:52"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row>
    <row r="196" spans="1:52"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row>
    <row r="197" spans="1:52"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row>
    <row r="198" spans="1:52"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row>
    <row r="199" spans="1:52"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row>
    <row r="200" spans="1:52"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row>
    <row r="201" spans="1:52"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row>
    <row r="202" spans="1:52"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row>
    <row r="203" spans="1:52"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row>
    <row r="204" spans="1:52"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row>
    <row r="205" spans="1:52"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row>
    <row r="206" spans="1:52"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row>
    <row r="207" spans="1:52"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row>
    <row r="208" spans="1:52"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row>
    <row r="209" spans="1:52"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row>
    <row r="210" spans="1:52"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row>
    <row r="211" spans="1:52"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row>
    <row r="212" spans="1:52"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row>
    <row r="213" spans="1:52"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row>
    <row r="214" spans="1:52"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row>
    <row r="215" spans="1:52"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row>
    <row r="216" spans="1:52"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row>
    <row r="217" spans="1:52"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row>
    <row r="218" spans="1:52"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row>
    <row r="219" spans="1:52"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row>
    <row r="220" spans="1:52"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row>
    <row r="221" spans="1:52"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row>
    <row r="222" spans="1:52"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row>
    <row r="223" spans="1:52"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row>
    <row r="224" spans="1:52"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row>
    <row r="225" spans="1:52"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row>
    <row r="226" spans="1:52"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row>
    <row r="227" spans="1:52"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row>
    <row r="228" spans="1:52"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row>
    <row r="229" spans="1:52"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row>
    <row r="230" spans="1:52"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row>
    <row r="231" spans="1:52"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row>
    <row r="232" spans="1:52"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row>
    <row r="233" spans="1:52"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row>
    <row r="234" spans="1:52"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row>
    <row r="235" spans="1:52"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row>
    <row r="236" spans="1:52"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row>
    <row r="237" spans="1:52"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row>
    <row r="238" spans="1:52"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row>
    <row r="239" spans="1:52"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row>
    <row r="240" spans="1:52"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row>
    <row r="241" spans="1:52"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row>
    <row r="242" spans="1:52"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row>
    <row r="243" spans="1:52"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row>
    <row r="244" spans="1:52"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row>
    <row r="245" spans="1:52"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row>
    <row r="246" spans="1:52"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row>
    <row r="247" spans="1:52"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row>
    <row r="248" spans="1:52"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row>
    <row r="249" spans="1:52"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row>
    <row r="250" spans="1:52"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row>
    <row r="251" spans="1:52"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row>
    <row r="252" spans="1:52"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row>
    <row r="253" spans="1:52"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row>
    <row r="254" spans="1:52"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row>
    <row r="255" spans="1:52"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row>
    <row r="256" spans="1:52"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row>
    <row r="257" spans="1:52"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row>
    <row r="258" spans="1:52"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row>
    <row r="259" spans="1:52"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row>
    <row r="260" spans="1:52"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row>
    <row r="261" spans="1:52"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row>
    <row r="262" spans="1:52"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row>
    <row r="263" spans="1:52"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row>
    <row r="264" spans="1:52"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row>
    <row r="265" spans="1:52"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row>
    <row r="266" spans="1:52"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row>
    <row r="267" spans="1:52"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row>
    <row r="268" spans="1:52"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row>
    <row r="269" spans="1:52"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row>
    <row r="270" spans="1:52"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row>
    <row r="271" spans="1:52"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row>
  </sheetData>
  <mergeCells count="1">
    <mergeCell ref="A1:AI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1"/>
  <sheetViews>
    <sheetView tabSelected="1" zoomScale="97" zoomScaleNormal="97" workbookViewId="0"/>
  </sheetViews>
  <sheetFormatPr defaultRowHeight="14.4" x14ac:dyDescent="0.3"/>
  <cols>
    <col min="1" max="1" width="8.6640625" bestFit="1" customWidth="1"/>
    <col min="2" max="2" width="11.109375" bestFit="1" customWidth="1"/>
    <col min="3" max="5" width="11.109375" customWidth="1"/>
    <col min="6" max="6" width="12.109375" bestFit="1" customWidth="1"/>
    <col min="7" max="7" width="12.21875" bestFit="1" customWidth="1"/>
    <col min="8" max="8" width="20.88671875" bestFit="1" customWidth="1"/>
    <col min="9" max="9" width="14.21875" bestFit="1" customWidth="1"/>
    <col min="10" max="10" width="21.109375" bestFit="1" customWidth="1"/>
    <col min="11" max="11" width="12.21875" bestFit="1" customWidth="1"/>
    <col min="12" max="12" width="10.33203125" customWidth="1"/>
    <col min="13" max="13" width="10" bestFit="1" customWidth="1"/>
    <col min="14" max="14" width="13.33203125" bestFit="1" customWidth="1"/>
    <col min="15" max="15" width="9.88671875" bestFit="1" customWidth="1"/>
    <col min="16" max="16" width="8" bestFit="1" customWidth="1"/>
    <col min="17" max="17" width="13.21875" bestFit="1" customWidth="1"/>
    <col min="18" max="18" width="22.21875" bestFit="1" customWidth="1"/>
    <col min="19" max="19" width="15.21875" bestFit="1" customWidth="1"/>
    <col min="20" max="20" width="19.77734375" bestFit="1" customWidth="1"/>
    <col min="21" max="21" width="17.6640625" bestFit="1" customWidth="1"/>
    <col min="22" max="22" width="20.33203125" bestFit="1" customWidth="1"/>
    <col min="23" max="23" width="13.6640625" bestFit="1" customWidth="1"/>
    <col min="24" max="24" width="21.77734375" bestFit="1" customWidth="1"/>
  </cols>
  <sheetData>
    <row r="1" spans="1:24" x14ac:dyDescent="0.3">
      <c r="A1" t="s">
        <v>0</v>
      </c>
      <c r="B1" t="s">
        <v>1</v>
      </c>
      <c r="C1" t="s">
        <v>1053</v>
      </c>
      <c r="D1" t="s">
        <v>1054</v>
      </c>
      <c r="E1" t="s">
        <v>1055</v>
      </c>
      <c r="F1" t="s">
        <v>1056</v>
      </c>
      <c r="G1" t="s">
        <v>1057</v>
      </c>
      <c r="H1" t="s">
        <v>1058</v>
      </c>
      <c r="I1" t="s">
        <v>2</v>
      </c>
      <c r="J1" t="s">
        <v>1059</v>
      </c>
      <c r="K1" t="s">
        <v>3</v>
      </c>
      <c r="L1" t="s">
        <v>4</v>
      </c>
      <c r="M1" t="s">
        <v>5</v>
      </c>
      <c r="N1" t="s">
        <v>6</v>
      </c>
      <c r="O1" t="s">
        <v>7</v>
      </c>
      <c r="P1" t="s">
        <v>8</v>
      </c>
      <c r="Q1" t="s">
        <v>9</v>
      </c>
      <c r="R1" t="s">
        <v>10</v>
      </c>
      <c r="S1" t="s">
        <v>11</v>
      </c>
      <c r="T1" t="s">
        <v>12</v>
      </c>
      <c r="U1" t="s">
        <v>13</v>
      </c>
      <c r="V1" t="s">
        <v>14</v>
      </c>
      <c r="W1" t="s">
        <v>15</v>
      </c>
      <c r="X1" t="s">
        <v>16</v>
      </c>
    </row>
    <row r="2" spans="1:24" x14ac:dyDescent="0.3">
      <c r="A2" t="s">
        <v>17</v>
      </c>
      <c r="B2" s="1">
        <v>45665</v>
      </c>
      <c r="C2">
        <f>DAY(B2)</f>
        <v>8</v>
      </c>
      <c r="D2">
        <f>MONTH(B2)</f>
        <v>1</v>
      </c>
      <c r="E2">
        <f>YEAR(B2)</f>
        <v>2025</v>
      </c>
      <c r="F2" t="str">
        <f t="shared" ref="F2:F65" si="0">TEXT(B2,"mmm")</f>
        <v>Jan</v>
      </c>
      <c r="G2" t="str">
        <f t="shared" ref="G2:G65" si="1">TEXT(B2,"ddd")</f>
        <v>Wed</v>
      </c>
      <c r="H2" t="str">
        <f>IF(OR(G2="sat",G2="sun"),"Weekend","Weekday")</f>
        <v>Weekday</v>
      </c>
      <c r="I2" s="2">
        <v>0.76041666666666663</v>
      </c>
      <c r="J2" s="2">
        <f>IF(ISNUMBER(I2),I2,IFERROR(TIMEVALUE(I2),TIMEVALUE(SUBSTITUTE(I2,".",":"))))</f>
        <v>0.76041666666666663</v>
      </c>
      <c r="K2" t="s">
        <v>18</v>
      </c>
      <c r="L2" t="s">
        <v>31</v>
      </c>
      <c r="M2" t="s">
        <v>19</v>
      </c>
      <c r="N2" t="s">
        <v>20</v>
      </c>
      <c r="O2" t="s">
        <v>21</v>
      </c>
      <c r="P2">
        <v>1</v>
      </c>
      <c r="Q2">
        <v>108</v>
      </c>
      <c r="R2">
        <v>108</v>
      </c>
      <c r="S2">
        <v>10</v>
      </c>
      <c r="T2">
        <v>98</v>
      </c>
      <c r="U2" t="s">
        <v>22</v>
      </c>
      <c r="V2">
        <v>16</v>
      </c>
      <c r="W2" t="s">
        <v>23</v>
      </c>
      <c r="X2">
        <v>2</v>
      </c>
    </row>
    <row r="3" spans="1:24" x14ac:dyDescent="0.3">
      <c r="A3" t="s">
        <v>24</v>
      </c>
      <c r="B3" s="1">
        <v>45663</v>
      </c>
      <c r="C3">
        <f t="shared" ref="C3:C66" si="2">DAY(B3)</f>
        <v>6</v>
      </c>
      <c r="D3">
        <f t="shared" ref="D3:D66" si="3">MONTH(B3)</f>
        <v>1</v>
      </c>
      <c r="E3">
        <f t="shared" ref="E3:E66" si="4">YEAR(B3)</f>
        <v>2025</v>
      </c>
      <c r="F3" t="str">
        <f t="shared" si="0"/>
        <v>Jan</v>
      </c>
      <c r="G3" t="str">
        <f t="shared" si="1"/>
        <v>Mon</v>
      </c>
      <c r="H3" t="str">
        <f t="shared" ref="H3:H66" si="5">IF(OR(G3="sat",G3="sun"),"Weekend","Weekday")</f>
        <v>Weekday</v>
      </c>
      <c r="I3" s="2">
        <v>0.37847222222222221</v>
      </c>
      <c r="J3" s="2">
        <f t="shared" ref="J3:J66" si="6">IF(ISNUMBER(I3),I3,IFERROR(TIMEVALUE(I3),TIMEVALUE(SUBSTITUTE(I3,".",":"))))</f>
        <v>0.37847222222222221</v>
      </c>
      <c r="K3" t="s">
        <v>25</v>
      </c>
      <c r="L3" t="s">
        <v>52</v>
      </c>
      <c r="M3" t="s">
        <v>26</v>
      </c>
      <c r="N3" t="s">
        <v>27</v>
      </c>
      <c r="O3" t="s">
        <v>28</v>
      </c>
      <c r="P3">
        <v>6</v>
      </c>
      <c r="Q3">
        <v>22</v>
      </c>
      <c r="R3">
        <v>132</v>
      </c>
      <c r="S3">
        <v>0</v>
      </c>
      <c r="T3">
        <v>132</v>
      </c>
      <c r="U3" t="s">
        <v>64</v>
      </c>
      <c r="V3">
        <v>37</v>
      </c>
      <c r="W3" t="s">
        <v>23</v>
      </c>
      <c r="X3">
        <v>4</v>
      </c>
    </row>
    <row r="4" spans="1:24" x14ac:dyDescent="0.3">
      <c r="A4" t="s">
        <v>29</v>
      </c>
      <c r="B4" s="1">
        <v>45659</v>
      </c>
      <c r="C4">
        <f t="shared" si="2"/>
        <v>2</v>
      </c>
      <c r="D4">
        <f t="shared" si="3"/>
        <v>1</v>
      </c>
      <c r="E4">
        <f t="shared" si="4"/>
        <v>2025</v>
      </c>
      <c r="F4" t="str">
        <f t="shared" si="0"/>
        <v>Jan</v>
      </c>
      <c r="G4" t="str">
        <f t="shared" si="1"/>
        <v>Thu</v>
      </c>
      <c r="H4" t="str">
        <f t="shared" si="5"/>
        <v>Weekday</v>
      </c>
      <c r="I4" s="2">
        <v>0.76041666666666663</v>
      </c>
      <c r="J4" s="2">
        <f t="shared" si="6"/>
        <v>0.76041666666666663</v>
      </c>
      <c r="K4" t="s">
        <v>30</v>
      </c>
      <c r="L4" t="s">
        <v>31</v>
      </c>
      <c r="M4" t="s">
        <v>32</v>
      </c>
      <c r="N4" t="s">
        <v>33</v>
      </c>
      <c r="O4" t="s">
        <v>21</v>
      </c>
      <c r="P4">
        <v>6</v>
      </c>
      <c r="Q4">
        <v>77</v>
      </c>
      <c r="R4">
        <v>462</v>
      </c>
      <c r="S4">
        <v>10</v>
      </c>
      <c r="T4">
        <v>452</v>
      </c>
      <c r="U4" t="s">
        <v>34</v>
      </c>
      <c r="V4">
        <v>23</v>
      </c>
      <c r="W4" t="s">
        <v>35</v>
      </c>
      <c r="X4">
        <v>0</v>
      </c>
    </row>
    <row r="5" spans="1:24" x14ac:dyDescent="0.3">
      <c r="A5" t="s">
        <v>36</v>
      </c>
      <c r="B5" s="1">
        <v>45668</v>
      </c>
      <c r="C5">
        <f t="shared" si="2"/>
        <v>11</v>
      </c>
      <c r="D5">
        <f t="shared" si="3"/>
        <v>1</v>
      </c>
      <c r="E5">
        <f t="shared" si="4"/>
        <v>2025</v>
      </c>
      <c r="F5" t="str">
        <f t="shared" si="0"/>
        <v>Jan</v>
      </c>
      <c r="G5" t="str">
        <f t="shared" si="1"/>
        <v>Sat</v>
      </c>
      <c r="H5" t="str">
        <f t="shared" si="5"/>
        <v>Weekend</v>
      </c>
      <c r="I5" s="2">
        <v>0.76041666666666663</v>
      </c>
      <c r="J5" s="2">
        <f t="shared" si="6"/>
        <v>0.76041666666666663</v>
      </c>
      <c r="K5" t="s">
        <v>37</v>
      </c>
      <c r="L5" t="s">
        <v>38</v>
      </c>
      <c r="M5" t="s">
        <v>39</v>
      </c>
      <c r="N5" t="s">
        <v>40</v>
      </c>
      <c r="O5" t="s">
        <v>41</v>
      </c>
      <c r="P5">
        <v>5</v>
      </c>
      <c r="Q5">
        <v>68</v>
      </c>
      <c r="R5">
        <v>340</v>
      </c>
      <c r="S5">
        <v>10</v>
      </c>
      <c r="T5">
        <v>330</v>
      </c>
      <c r="U5" t="s">
        <v>42</v>
      </c>
      <c r="V5">
        <v>37</v>
      </c>
      <c r="W5" t="s">
        <v>23</v>
      </c>
      <c r="X5">
        <v>2</v>
      </c>
    </row>
    <row r="6" spans="1:24" x14ac:dyDescent="0.3">
      <c r="A6" t="s">
        <v>43</v>
      </c>
      <c r="B6" s="1">
        <v>45668</v>
      </c>
      <c r="C6">
        <f t="shared" si="2"/>
        <v>11</v>
      </c>
      <c r="D6">
        <f t="shared" si="3"/>
        <v>1</v>
      </c>
      <c r="E6">
        <f t="shared" si="4"/>
        <v>2025</v>
      </c>
      <c r="F6" t="str">
        <f t="shared" si="0"/>
        <v>Jan</v>
      </c>
      <c r="G6" t="str">
        <f t="shared" si="1"/>
        <v>Sat</v>
      </c>
      <c r="H6" t="str">
        <f t="shared" si="5"/>
        <v>Weekend</v>
      </c>
      <c r="I6" s="2">
        <v>0.78125</v>
      </c>
      <c r="J6" s="2">
        <f t="shared" si="6"/>
        <v>0.78125</v>
      </c>
      <c r="K6" t="s">
        <v>44</v>
      </c>
      <c r="L6" t="s">
        <v>52</v>
      </c>
      <c r="M6" t="s">
        <v>45</v>
      </c>
      <c r="N6" t="s">
        <v>46</v>
      </c>
      <c r="O6" t="s">
        <v>28</v>
      </c>
      <c r="P6">
        <v>4</v>
      </c>
      <c r="Q6">
        <v>28</v>
      </c>
      <c r="R6">
        <v>112</v>
      </c>
      <c r="S6">
        <v>0</v>
      </c>
      <c r="T6">
        <v>112</v>
      </c>
      <c r="U6" t="s">
        <v>42</v>
      </c>
      <c r="V6">
        <v>26</v>
      </c>
      <c r="W6" t="s">
        <v>23</v>
      </c>
      <c r="X6">
        <v>3</v>
      </c>
    </row>
    <row r="7" spans="1:24" x14ac:dyDescent="0.3">
      <c r="A7" t="s">
        <v>47</v>
      </c>
      <c r="B7" s="1">
        <v>45666</v>
      </c>
      <c r="C7">
        <f t="shared" si="2"/>
        <v>9</v>
      </c>
      <c r="D7">
        <f t="shared" si="3"/>
        <v>1</v>
      </c>
      <c r="E7">
        <f t="shared" si="4"/>
        <v>2025</v>
      </c>
      <c r="F7" t="str">
        <f t="shared" si="0"/>
        <v>Jan</v>
      </c>
      <c r="G7" t="str">
        <f t="shared" si="1"/>
        <v>Thu</v>
      </c>
      <c r="H7" t="str">
        <f t="shared" si="5"/>
        <v>Weekday</v>
      </c>
      <c r="I7" s="2">
        <v>0.78125</v>
      </c>
      <c r="J7" s="2">
        <f>IF(ISNUMBER(I7),I7,IFERROR(TIMEVALUE(I7),TIMEVALUE(SUBSTITUTE(I7,".",":"))))</f>
        <v>0.78125</v>
      </c>
      <c r="K7" t="s">
        <v>48</v>
      </c>
      <c r="L7" t="s">
        <v>49</v>
      </c>
      <c r="M7" t="s">
        <v>39</v>
      </c>
      <c r="N7" t="s">
        <v>33</v>
      </c>
      <c r="O7" t="s">
        <v>21</v>
      </c>
      <c r="P7">
        <v>5</v>
      </c>
      <c r="Q7">
        <v>107</v>
      </c>
      <c r="R7">
        <v>535</v>
      </c>
      <c r="S7">
        <v>0</v>
      </c>
      <c r="T7">
        <v>535</v>
      </c>
      <c r="U7" t="s">
        <v>22</v>
      </c>
      <c r="V7">
        <v>31</v>
      </c>
      <c r="W7" t="s">
        <v>23</v>
      </c>
      <c r="X7">
        <v>2</v>
      </c>
    </row>
    <row r="8" spans="1:24" x14ac:dyDescent="0.3">
      <c r="A8" t="s">
        <v>50</v>
      </c>
      <c r="B8" s="1">
        <v>45663</v>
      </c>
      <c r="C8">
        <f t="shared" si="2"/>
        <v>6</v>
      </c>
      <c r="D8">
        <f t="shared" si="3"/>
        <v>1</v>
      </c>
      <c r="E8">
        <f t="shared" si="4"/>
        <v>2025</v>
      </c>
      <c r="F8" t="str">
        <f t="shared" si="0"/>
        <v>Jan</v>
      </c>
      <c r="G8" t="str">
        <f t="shared" si="1"/>
        <v>Mon</v>
      </c>
      <c r="H8" t="str">
        <f t="shared" si="5"/>
        <v>Weekday</v>
      </c>
      <c r="I8" s="2">
        <v>0.78125</v>
      </c>
      <c r="J8" s="2">
        <f t="shared" si="6"/>
        <v>0.78125</v>
      </c>
      <c r="K8" t="s">
        <v>51</v>
      </c>
      <c r="L8" t="s">
        <v>52</v>
      </c>
      <c r="M8" t="s">
        <v>39</v>
      </c>
      <c r="N8" t="s">
        <v>46</v>
      </c>
      <c r="O8" t="s">
        <v>28</v>
      </c>
      <c r="P8">
        <v>2</v>
      </c>
      <c r="Q8">
        <v>26</v>
      </c>
      <c r="R8">
        <v>52</v>
      </c>
      <c r="S8">
        <v>0</v>
      </c>
      <c r="T8">
        <v>52</v>
      </c>
      <c r="U8" t="s">
        <v>34</v>
      </c>
      <c r="V8">
        <v>44</v>
      </c>
      <c r="W8" t="s">
        <v>35</v>
      </c>
      <c r="X8">
        <v>3</v>
      </c>
    </row>
    <row r="9" spans="1:24" x14ac:dyDescent="0.3">
      <c r="A9" t="s">
        <v>53</v>
      </c>
      <c r="B9" s="1">
        <v>45659</v>
      </c>
      <c r="C9">
        <f t="shared" si="2"/>
        <v>2</v>
      </c>
      <c r="D9">
        <f t="shared" si="3"/>
        <v>1</v>
      </c>
      <c r="E9">
        <f t="shared" si="4"/>
        <v>2025</v>
      </c>
      <c r="F9" t="str">
        <f t="shared" si="0"/>
        <v>Jan</v>
      </c>
      <c r="G9" t="str">
        <f t="shared" si="1"/>
        <v>Thu</v>
      </c>
      <c r="H9" t="str">
        <f t="shared" si="5"/>
        <v>Weekday</v>
      </c>
      <c r="I9" s="2">
        <v>0.76041666666666663</v>
      </c>
      <c r="J9" s="2">
        <f t="shared" si="6"/>
        <v>0.76041666666666663</v>
      </c>
      <c r="K9" t="s">
        <v>54</v>
      </c>
      <c r="L9" t="s">
        <v>52</v>
      </c>
      <c r="M9" t="s">
        <v>45</v>
      </c>
      <c r="N9" t="s">
        <v>55</v>
      </c>
      <c r="O9" t="s">
        <v>21</v>
      </c>
      <c r="P9">
        <v>1</v>
      </c>
      <c r="Q9">
        <v>15</v>
      </c>
      <c r="R9">
        <v>15</v>
      </c>
      <c r="S9">
        <v>0</v>
      </c>
      <c r="T9">
        <v>15</v>
      </c>
      <c r="U9" t="s">
        <v>22</v>
      </c>
      <c r="V9">
        <v>52</v>
      </c>
      <c r="W9" t="s">
        <v>23</v>
      </c>
      <c r="X9">
        <v>2</v>
      </c>
    </row>
    <row r="10" spans="1:24" x14ac:dyDescent="0.3">
      <c r="A10" t="s">
        <v>56</v>
      </c>
      <c r="B10" s="1">
        <v>45667</v>
      </c>
      <c r="C10">
        <f t="shared" si="2"/>
        <v>10</v>
      </c>
      <c r="D10">
        <f t="shared" si="3"/>
        <v>1</v>
      </c>
      <c r="E10">
        <f t="shared" si="4"/>
        <v>2025</v>
      </c>
      <c r="F10" t="str">
        <f t="shared" si="0"/>
        <v>Jan</v>
      </c>
      <c r="G10" t="str">
        <f t="shared" si="1"/>
        <v>Fri</v>
      </c>
      <c r="H10" t="str">
        <f t="shared" si="5"/>
        <v>Weekday</v>
      </c>
      <c r="I10" s="2">
        <v>0.4375</v>
      </c>
      <c r="J10" s="2">
        <f>IF(ISNUMBER(I10),I10,IFERROR(TIMEVALUE(I10),TIMEVALUE(SUBSTITUTE(I10,".",":"))))</f>
        <v>0.4375</v>
      </c>
      <c r="K10" t="s">
        <v>57</v>
      </c>
      <c r="L10" t="s">
        <v>58</v>
      </c>
      <c r="M10" t="s">
        <v>59</v>
      </c>
      <c r="N10" t="s">
        <v>27</v>
      </c>
      <c r="O10" t="s">
        <v>28</v>
      </c>
      <c r="P10">
        <v>5</v>
      </c>
      <c r="Q10">
        <v>98</v>
      </c>
      <c r="R10">
        <v>490</v>
      </c>
      <c r="S10">
        <v>10</v>
      </c>
      <c r="T10">
        <v>480</v>
      </c>
      <c r="U10" t="s">
        <v>64</v>
      </c>
      <c r="V10">
        <v>52</v>
      </c>
      <c r="W10" t="s">
        <v>35</v>
      </c>
      <c r="X10">
        <v>5</v>
      </c>
    </row>
    <row r="11" spans="1:24" x14ac:dyDescent="0.3">
      <c r="A11" t="s">
        <v>60</v>
      </c>
      <c r="B11" s="1">
        <v>45659</v>
      </c>
      <c r="C11">
        <f t="shared" si="2"/>
        <v>2</v>
      </c>
      <c r="D11">
        <f t="shared" si="3"/>
        <v>1</v>
      </c>
      <c r="E11">
        <f t="shared" si="4"/>
        <v>2025</v>
      </c>
      <c r="F11" t="str">
        <f t="shared" si="0"/>
        <v>Jan</v>
      </c>
      <c r="G11" t="str">
        <f t="shared" si="1"/>
        <v>Thu</v>
      </c>
      <c r="H11" t="str">
        <f t="shared" si="5"/>
        <v>Weekday</v>
      </c>
      <c r="I11" s="2">
        <v>0.76041666666666663</v>
      </c>
      <c r="J11" s="2">
        <f t="shared" si="6"/>
        <v>0.76041666666666663</v>
      </c>
      <c r="K11" t="s">
        <v>61</v>
      </c>
      <c r="L11" t="s">
        <v>31</v>
      </c>
      <c r="M11" t="s">
        <v>45</v>
      </c>
      <c r="N11" t="s">
        <v>33</v>
      </c>
      <c r="O11" t="s">
        <v>21</v>
      </c>
      <c r="P11">
        <v>4</v>
      </c>
      <c r="Q11">
        <v>17</v>
      </c>
      <c r="R11">
        <v>68</v>
      </c>
      <c r="S11">
        <v>0</v>
      </c>
      <c r="T11">
        <v>68</v>
      </c>
      <c r="U11" t="s">
        <v>64</v>
      </c>
      <c r="V11">
        <v>54</v>
      </c>
      <c r="W11" t="s">
        <v>23</v>
      </c>
      <c r="X11">
        <v>4</v>
      </c>
    </row>
    <row r="12" spans="1:24" x14ac:dyDescent="0.3">
      <c r="A12" t="s">
        <v>62</v>
      </c>
      <c r="B12" s="1">
        <v>45666</v>
      </c>
      <c r="C12">
        <f t="shared" si="2"/>
        <v>9</v>
      </c>
      <c r="D12">
        <f t="shared" si="3"/>
        <v>1</v>
      </c>
      <c r="E12">
        <f t="shared" si="4"/>
        <v>2025</v>
      </c>
      <c r="F12" t="str">
        <f t="shared" si="0"/>
        <v>Jan</v>
      </c>
      <c r="G12" t="str">
        <f t="shared" si="1"/>
        <v>Thu</v>
      </c>
      <c r="H12" t="str">
        <f t="shared" si="5"/>
        <v>Weekday</v>
      </c>
      <c r="I12" s="2">
        <v>0.76041666666666663</v>
      </c>
      <c r="J12" s="2">
        <f t="shared" si="6"/>
        <v>0.76041666666666663</v>
      </c>
      <c r="K12" t="s">
        <v>63</v>
      </c>
      <c r="L12" t="s">
        <v>52</v>
      </c>
      <c r="M12" t="s">
        <v>59</v>
      </c>
      <c r="N12" t="s">
        <v>40</v>
      </c>
      <c r="O12" t="s">
        <v>41</v>
      </c>
      <c r="P12">
        <v>6</v>
      </c>
      <c r="Q12">
        <v>107</v>
      </c>
      <c r="R12">
        <v>642</v>
      </c>
      <c r="S12">
        <v>0</v>
      </c>
      <c r="T12">
        <v>642</v>
      </c>
      <c r="U12" t="s">
        <v>64</v>
      </c>
      <c r="V12">
        <v>14</v>
      </c>
      <c r="W12" t="s">
        <v>23</v>
      </c>
      <c r="X12">
        <v>3</v>
      </c>
    </row>
    <row r="13" spans="1:24" x14ac:dyDescent="0.3">
      <c r="A13" t="s">
        <v>65</v>
      </c>
      <c r="B13" s="1">
        <v>45666</v>
      </c>
      <c r="C13">
        <f t="shared" si="2"/>
        <v>9</v>
      </c>
      <c r="D13">
        <f t="shared" si="3"/>
        <v>1</v>
      </c>
      <c r="E13">
        <f t="shared" si="4"/>
        <v>2025</v>
      </c>
      <c r="F13" t="str">
        <f t="shared" si="0"/>
        <v>Jan</v>
      </c>
      <c r="G13" t="str">
        <f t="shared" si="1"/>
        <v>Thu</v>
      </c>
      <c r="H13" t="str">
        <f t="shared" si="5"/>
        <v>Weekday</v>
      </c>
      <c r="I13" s="2">
        <v>0.4375</v>
      </c>
      <c r="J13" s="2">
        <f t="shared" si="6"/>
        <v>0.4375</v>
      </c>
      <c r="K13" t="s">
        <v>66</v>
      </c>
      <c r="L13" t="s">
        <v>52</v>
      </c>
      <c r="M13" t="s">
        <v>26</v>
      </c>
      <c r="N13" t="s">
        <v>55</v>
      </c>
      <c r="O13" t="s">
        <v>21</v>
      </c>
      <c r="P13">
        <v>5</v>
      </c>
      <c r="Q13">
        <v>53</v>
      </c>
      <c r="R13">
        <v>265</v>
      </c>
      <c r="S13">
        <v>10</v>
      </c>
      <c r="T13">
        <v>255</v>
      </c>
      <c r="U13" t="s">
        <v>34</v>
      </c>
      <c r="V13">
        <v>29</v>
      </c>
      <c r="W13" t="s">
        <v>35</v>
      </c>
      <c r="X13">
        <v>1</v>
      </c>
    </row>
    <row r="14" spans="1:24" x14ac:dyDescent="0.3">
      <c r="A14" t="s">
        <v>67</v>
      </c>
      <c r="B14" s="1">
        <v>45663</v>
      </c>
      <c r="C14">
        <f t="shared" si="2"/>
        <v>6</v>
      </c>
      <c r="D14">
        <f t="shared" si="3"/>
        <v>1</v>
      </c>
      <c r="E14">
        <f t="shared" si="4"/>
        <v>2025</v>
      </c>
      <c r="F14" t="str">
        <f t="shared" si="0"/>
        <v>Jan</v>
      </c>
      <c r="G14" t="str">
        <f t="shared" si="1"/>
        <v>Mon</v>
      </c>
      <c r="H14" t="str">
        <f t="shared" si="5"/>
        <v>Weekday</v>
      </c>
      <c r="I14" s="2">
        <v>0.76041666666666663</v>
      </c>
      <c r="J14" s="2">
        <f t="shared" si="6"/>
        <v>0.76041666666666663</v>
      </c>
      <c r="K14" t="s">
        <v>68</v>
      </c>
      <c r="L14" t="s">
        <v>31</v>
      </c>
      <c r="M14" t="s">
        <v>69</v>
      </c>
      <c r="N14" t="s">
        <v>40</v>
      </c>
      <c r="O14" t="s">
        <v>41</v>
      </c>
      <c r="P14">
        <v>5</v>
      </c>
      <c r="Q14">
        <v>116</v>
      </c>
      <c r="R14">
        <v>580</v>
      </c>
      <c r="S14">
        <v>0</v>
      </c>
      <c r="T14">
        <v>580</v>
      </c>
      <c r="U14" t="s">
        <v>64</v>
      </c>
      <c r="V14">
        <v>39</v>
      </c>
      <c r="W14" t="s">
        <v>23</v>
      </c>
      <c r="X14">
        <v>0</v>
      </c>
    </row>
    <row r="15" spans="1:24" x14ac:dyDescent="0.3">
      <c r="A15" t="s">
        <v>70</v>
      </c>
      <c r="B15" s="1">
        <v>45665</v>
      </c>
      <c r="C15">
        <f t="shared" si="2"/>
        <v>8</v>
      </c>
      <c r="D15">
        <f t="shared" si="3"/>
        <v>1</v>
      </c>
      <c r="E15">
        <f t="shared" si="4"/>
        <v>2025</v>
      </c>
      <c r="F15" t="str">
        <f t="shared" si="0"/>
        <v>Jan</v>
      </c>
      <c r="G15" t="str">
        <f t="shared" si="1"/>
        <v>Wed</v>
      </c>
      <c r="H15" t="str">
        <f t="shared" si="5"/>
        <v>Weekday</v>
      </c>
      <c r="I15" s="2">
        <v>0.76041666666666663</v>
      </c>
      <c r="J15" s="2">
        <f t="shared" si="6"/>
        <v>0.76041666666666663</v>
      </c>
      <c r="K15" t="s">
        <v>71</v>
      </c>
      <c r="L15" t="s">
        <v>52</v>
      </c>
      <c r="M15" t="s">
        <v>26</v>
      </c>
      <c r="N15" t="s">
        <v>20</v>
      </c>
      <c r="O15" t="s">
        <v>21</v>
      </c>
      <c r="P15">
        <v>5</v>
      </c>
      <c r="Q15">
        <v>65</v>
      </c>
      <c r="R15">
        <v>325</v>
      </c>
      <c r="S15">
        <v>10</v>
      </c>
      <c r="T15">
        <v>315</v>
      </c>
      <c r="U15" t="s">
        <v>22</v>
      </c>
      <c r="V15">
        <v>36</v>
      </c>
      <c r="W15" t="s">
        <v>35</v>
      </c>
      <c r="X15">
        <v>5</v>
      </c>
    </row>
    <row r="16" spans="1:24" x14ac:dyDescent="0.3">
      <c r="A16" t="s">
        <v>72</v>
      </c>
      <c r="B16" s="1">
        <v>45661</v>
      </c>
      <c r="C16">
        <f t="shared" si="2"/>
        <v>4</v>
      </c>
      <c r="D16">
        <f t="shared" si="3"/>
        <v>1</v>
      </c>
      <c r="E16">
        <f t="shared" si="4"/>
        <v>2025</v>
      </c>
      <c r="F16" t="str">
        <f t="shared" si="0"/>
        <v>Jan</v>
      </c>
      <c r="G16" t="str">
        <f t="shared" si="1"/>
        <v>Sat</v>
      </c>
      <c r="H16" t="str">
        <f t="shared" si="5"/>
        <v>Weekend</v>
      </c>
      <c r="I16" s="2">
        <v>0.78125</v>
      </c>
      <c r="J16" s="2">
        <f t="shared" si="6"/>
        <v>0.78125</v>
      </c>
      <c r="K16" t="s">
        <v>73</v>
      </c>
      <c r="L16" t="s">
        <v>31</v>
      </c>
      <c r="M16" t="s">
        <v>26</v>
      </c>
      <c r="N16" t="s">
        <v>33</v>
      </c>
      <c r="O16" t="s">
        <v>21</v>
      </c>
      <c r="P16">
        <v>2</v>
      </c>
      <c r="Q16">
        <v>40</v>
      </c>
      <c r="R16">
        <v>80</v>
      </c>
      <c r="S16">
        <v>10</v>
      </c>
      <c r="T16">
        <v>70</v>
      </c>
      <c r="U16" t="s">
        <v>22</v>
      </c>
      <c r="V16">
        <v>46</v>
      </c>
      <c r="W16" t="s">
        <v>23</v>
      </c>
      <c r="X16">
        <v>5</v>
      </c>
    </row>
    <row r="17" spans="1:24" x14ac:dyDescent="0.3">
      <c r="A17" t="s">
        <v>74</v>
      </c>
      <c r="B17" s="1">
        <v>45663</v>
      </c>
      <c r="C17">
        <f t="shared" si="2"/>
        <v>6</v>
      </c>
      <c r="D17">
        <f t="shared" si="3"/>
        <v>1</v>
      </c>
      <c r="E17">
        <f t="shared" si="4"/>
        <v>2025</v>
      </c>
      <c r="F17" t="str">
        <f t="shared" si="0"/>
        <v>Jan</v>
      </c>
      <c r="G17" t="str">
        <f t="shared" si="1"/>
        <v>Mon</v>
      </c>
      <c r="H17" t="str">
        <f t="shared" si="5"/>
        <v>Weekday</v>
      </c>
      <c r="I17" s="2">
        <v>0.37847222222222221</v>
      </c>
      <c r="J17" s="2">
        <f t="shared" si="6"/>
        <v>0.37847222222222221</v>
      </c>
      <c r="K17" t="s">
        <v>75</v>
      </c>
      <c r="L17" t="s">
        <v>31</v>
      </c>
      <c r="M17" t="s">
        <v>32</v>
      </c>
      <c r="N17" t="s">
        <v>40</v>
      </c>
      <c r="O17" t="s">
        <v>41</v>
      </c>
      <c r="P17">
        <v>6</v>
      </c>
      <c r="Q17">
        <v>14</v>
      </c>
      <c r="R17">
        <v>84</v>
      </c>
      <c r="S17">
        <v>5</v>
      </c>
      <c r="T17">
        <v>79</v>
      </c>
      <c r="U17" t="s">
        <v>34</v>
      </c>
      <c r="V17">
        <v>38</v>
      </c>
      <c r="W17" t="s">
        <v>23</v>
      </c>
      <c r="X17">
        <v>0</v>
      </c>
    </row>
    <row r="18" spans="1:24" x14ac:dyDescent="0.3">
      <c r="A18" t="s">
        <v>76</v>
      </c>
      <c r="B18" s="1">
        <v>45661</v>
      </c>
      <c r="C18">
        <f t="shared" si="2"/>
        <v>4</v>
      </c>
      <c r="D18">
        <f t="shared" si="3"/>
        <v>1</v>
      </c>
      <c r="E18">
        <f t="shared" si="4"/>
        <v>2025</v>
      </c>
      <c r="F18" t="str">
        <f t="shared" si="0"/>
        <v>Jan</v>
      </c>
      <c r="G18" t="str">
        <f t="shared" si="1"/>
        <v>Sat</v>
      </c>
      <c r="H18" t="str">
        <f t="shared" si="5"/>
        <v>Weekend</v>
      </c>
      <c r="I18" s="2">
        <v>0.37847222222222221</v>
      </c>
      <c r="J18" s="2">
        <f t="shared" si="6"/>
        <v>0.37847222222222221</v>
      </c>
      <c r="K18" t="s">
        <v>77</v>
      </c>
      <c r="L18" t="s">
        <v>38</v>
      </c>
      <c r="M18" t="s">
        <v>78</v>
      </c>
      <c r="N18" t="s">
        <v>79</v>
      </c>
      <c r="O18" t="s">
        <v>80</v>
      </c>
      <c r="P18">
        <v>6</v>
      </c>
      <c r="Q18">
        <v>64</v>
      </c>
      <c r="R18">
        <v>384</v>
      </c>
      <c r="S18">
        <v>10</v>
      </c>
      <c r="T18">
        <v>374</v>
      </c>
      <c r="U18" t="s">
        <v>42</v>
      </c>
      <c r="V18">
        <v>39</v>
      </c>
      <c r="W18" t="s">
        <v>23</v>
      </c>
      <c r="X18">
        <v>0</v>
      </c>
    </row>
    <row r="19" spans="1:24" x14ac:dyDescent="0.3">
      <c r="A19" t="s">
        <v>81</v>
      </c>
      <c r="B19" s="1">
        <v>45668</v>
      </c>
      <c r="C19">
        <f t="shared" si="2"/>
        <v>11</v>
      </c>
      <c r="D19">
        <f t="shared" si="3"/>
        <v>1</v>
      </c>
      <c r="E19">
        <f t="shared" si="4"/>
        <v>2025</v>
      </c>
      <c r="F19" t="str">
        <f t="shared" si="0"/>
        <v>Jan</v>
      </c>
      <c r="G19" t="str">
        <f t="shared" si="1"/>
        <v>Sat</v>
      </c>
      <c r="H19" t="str">
        <f t="shared" si="5"/>
        <v>Weekend</v>
      </c>
      <c r="I19" s="2">
        <v>0.76041666666666663</v>
      </c>
      <c r="J19" s="2">
        <f t="shared" si="6"/>
        <v>0.76041666666666663</v>
      </c>
      <c r="K19" t="s">
        <v>82</v>
      </c>
      <c r="L19" t="s">
        <v>58</v>
      </c>
      <c r="M19" t="s">
        <v>39</v>
      </c>
      <c r="N19" t="s">
        <v>46</v>
      </c>
      <c r="O19" t="s">
        <v>28</v>
      </c>
      <c r="P19">
        <v>1</v>
      </c>
      <c r="Q19">
        <v>68</v>
      </c>
      <c r="R19">
        <v>68</v>
      </c>
      <c r="S19">
        <v>0</v>
      </c>
      <c r="T19">
        <v>68</v>
      </c>
      <c r="U19" t="s">
        <v>42</v>
      </c>
      <c r="V19">
        <v>38</v>
      </c>
      <c r="W19" t="s">
        <v>23</v>
      </c>
      <c r="X19">
        <v>5</v>
      </c>
    </row>
    <row r="20" spans="1:24" x14ac:dyDescent="0.3">
      <c r="A20" t="s">
        <v>83</v>
      </c>
      <c r="B20" s="1">
        <v>45665</v>
      </c>
      <c r="C20">
        <f t="shared" si="2"/>
        <v>8</v>
      </c>
      <c r="D20">
        <f t="shared" si="3"/>
        <v>1</v>
      </c>
      <c r="E20">
        <f t="shared" si="4"/>
        <v>2025</v>
      </c>
      <c r="F20" t="str">
        <f t="shared" si="0"/>
        <v>Jan</v>
      </c>
      <c r="G20" t="str">
        <f t="shared" si="1"/>
        <v>Wed</v>
      </c>
      <c r="H20" t="str">
        <f t="shared" si="5"/>
        <v>Weekday</v>
      </c>
      <c r="I20" s="2">
        <v>0.78125</v>
      </c>
      <c r="J20" s="2">
        <f t="shared" si="6"/>
        <v>0.78125</v>
      </c>
      <c r="K20" t="s">
        <v>84</v>
      </c>
      <c r="L20" t="s">
        <v>58</v>
      </c>
      <c r="M20" t="s">
        <v>59</v>
      </c>
      <c r="N20" t="s">
        <v>46</v>
      </c>
      <c r="O20" t="s">
        <v>28</v>
      </c>
      <c r="P20">
        <v>5</v>
      </c>
      <c r="Q20">
        <v>12</v>
      </c>
      <c r="R20">
        <v>60</v>
      </c>
      <c r="S20">
        <v>0</v>
      </c>
      <c r="T20">
        <v>60</v>
      </c>
      <c r="U20" t="s">
        <v>64</v>
      </c>
      <c r="V20">
        <v>25</v>
      </c>
      <c r="W20" t="s">
        <v>35</v>
      </c>
      <c r="X20">
        <v>5</v>
      </c>
    </row>
    <row r="21" spans="1:24" x14ac:dyDescent="0.3">
      <c r="A21" t="s">
        <v>85</v>
      </c>
      <c r="B21" s="1">
        <v>45664</v>
      </c>
      <c r="C21">
        <f t="shared" si="2"/>
        <v>7</v>
      </c>
      <c r="D21">
        <f t="shared" si="3"/>
        <v>1</v>
      </c>
      <c r="E21">
        <f t="shared" si="4"/>
        <v>2025</v>
      </c>
      <c r="F21" t="str">
        <f t="shared" si="0"/>
        <v>Jan</v>
      </c>
      <c r="G21" t="str">
        <f t="shared" si="1"/>
        <v>Tue</v>
      </c>
      <c r="H21" t="str">
        <f t="shared" si="5"/>
        <v>Weekday</v>
      </c>
      <c r="I21" s="2">
        <v>0.76041666666666663</v>
      </c>
      <c r="J21" s="2">
        <f t="shared" si="6"/>
        <v>0.76041666666666663</v>
      </c>
      <c r="K21" t="s">
        <v>86</v>
      </c>
      <c r="L21" t="s">
        <v>87</v>
      </c>
      <c r="M21" t="s">
        <v>59</v>
      </c>
      <c r="N21" t="s">
        <v>27</v>
      </c>
      <c r="O21" t="s">
        <v>28</v>
      </c>
      <c r="P21">
        <v>4</v>
      </c>
      <c r="Q21">
        <v>119</v>
      </c>
      <c r="R21">
        <v>476</v>
      </c>
      <c r="S21">
        <v>5</v>
      </c>
      <c r="T21">
        <v>471</v>
      </c>
      <c r="U21" t="s">
        <v>64</v>
      </c>
      <c r="V21">
        <v>55</v>
      </c>
      <c r="W21" t="s">
        <v>35</v>
      </c>
      <c r="X21">
        <v>0</v>
      </c>
    </row>
    <row r="22" spans="1:24" x14ac:dyDescent="0.3">
      <c r="A22" t="s">
        <v>88</v>
      </c>
      <c r="B22" s="1">
        <v>45660</v>
      </c>
      <c r="C22">
        <f t="shared" si="2"/>
        <v>3</v>
      </c>
      <c r="D22">
        <f t="shared" si="3"/>
        <v>1</v>
      </c>
      <c r="E22">
        <f t="shared" si="4"/>
        <v>2025</v>
      </c>
      <c r="F22" t="str">
        <f t="shared" si="0"/>
        <v>Jan</v>
      </c>
      <c r="G22" t="str">
        <f t="shared" si="1"/>
        <v>Fri</v>
      </c>
      <c r="H22" t="str">
        <f t="shared" si="5"/>
        <v>Weekday</v>
      </c>
      <c r="I22" s="2">
        <v>0.76041666666666663</v>
      </c>
      <c r="J22" s="2">
        <f t="shared" si="6"/>
        <v>0.76041666666666663</v>
      </c>
      <c r="K22" t="s">
        <v>89</v>
      </c>
      <c r="L22" t="s">
        <v>90</v>
      </c>
      <c r="M22" t="s">
        <v>59</v>
      </c>
      <c r="N22" t="s">
        <v>40</v>
      </c>
      <c r="O22" t="s">
        <v>41</v>
      </c>
      <c r="P22">
        <v>6</v>
      </c>
      <c r="Q22">
        <v>64</v>
      </c>
      <c r="R22">
        <v>384</v>
      </c>
      <c r="S22">
        <v>5</v>
      </c>
      <c r="T22">
        <v>379</v>
      </c>
      <c r="U22" t="s">
        <v>34</v>
      </c>
      <c r="V22">
        <v>16</v>
      </c>
      <c r="W22" t="s">
        <v>35</v>
      </c>
      <c r="X22">
        <v>3</v>
      </c>
    </row>
    <row r="23" spans="1:24" x14ac:dyDescent="0.3">
      <c r="A23" t="s">
        <v>91</v>
      </c>
      <c r="B23" s="1">
        <v>45658</v>
      </c>
      <c r="C23">
        <f t="shared" si="2"/>
        <v>1</v>
      </c>
      <c r="D23">
        <f t="shared" si="3"/>
        <v>1</v>
      </c>
      <c r="E23">
        <f t="shared" si="4"/>
        <v>2025</v>
      </c>
      <c r="F23" t="str">
        <f t="shared" si="0"/>
        <v>Jan</v>
      </c>
      <c r="G23" t="str">
        <f t="shared" si="1"/>
        <v>Wed</v>
      </c>
      <c r="H23" t="str">
        <f t="shared" si="5"/>
        <v>Weekday</v>
      </c>
      <c r="I23" s="2">
        <v>0.78125</v>
      </c>
      <c r="J23" s="2">
        <f t="shared" si="6"/>
        <v>0.78125</v>
      </c>
      <c r="K23" t="s">
        <v>92</v>
      </c>
      <c r="L23" t="s">
        <v>90</v>
      </c>
      <c r="M23" t="s">
        <v>39</v>
      </c>
      <c r="N23" t="s">
        <v>93</v>
      </c>
      <c r="O23" t="s">
        <v>94</v>
      </c>
      <c r="P23">
        <v>3</v>
      </c>
      <c r="Q23">
        <v>76</v>
      </c>
      <c r="R23">
        <v>228</v>
      </c>
      <c r="S23">
        <v>0</v>
      </c>
      <c r="T23">
        <v>228</v>
      </c>
      <c r="U23" t="s">
        <v>42</v>
      </c>
      <c r="V23">
        <v>53</v>
      </c>
      <c r="W23" t="s">
        <v>23</v>
      </c>
      <c r="X23">
        <v>5</v>
      </c>
    </row>
    <row r="24" spans="1:24" x14ac:dyDescent="0.3">
      <c r="A24" t="s">
        <v>95</v>
      </c>
      <c r="B24" s="1">
        <v>45663</v>
      </c>
      <c r="C24">
        <f t="shared" si="2"/>
        <v>6</v>
      </c>
      <c r="D24">
        <f t="shared" si="3"/>
        <v>1</v>
      </c>
      <c r="E24">
        <f t="shared" si="4"/>
        <v>2025</v>
      </c>
      <c r="F24" t="str">
        <f t="shared" si="0"/>
        <v>Jan</v>
      </c>
      <c r="G24" t="str">
        <f t="shared" si="1"/>
        <v>Mon</v>
      </c>
      <c r="H24" t="str">
        <f t="shared" si="5"/>
        <v>Weekday</v>
      </c>
      <c r="I24" s="2">
        <v>0.4375</v>
      </c>
      <c r="J24" s="2">
        <f t="shared" si="6"/>
        <v>0.4375</v>
      </c>
      <c r="K24" t="s">
        <v>96</v>
      </c>
      <c r="L24" t="s">
        <v>52</v>
      </c>
      <c r="M24" t="s">
        <v>69</v>
      </c>
      <c r="N24" t="s">
        <v>46</v>
      </c>
      <c r="O24" t="s">
        <v>28</v>
      </c>
      <c r="P24">
        <v>5</v>
      </c>
      <c r="Q24">
        <v>78</v>
      </c>
      <c r="R24">
        <v>390</v>
      </c>
      <c r="S24">
        <v>0</v>
      </c>
      <c r="T24">
        <v>390</v>
      </c>
      <c r="U24" t="s">
        <v>34</v>
      </c>
      <c r="V24">
        <v>12</v>
      </c>
      <c r="W24" t="s">
        <v>35</v>
      </c>
      <c r="X24">
        <v>3</v>
      </c>
    </row>
    <row r="25" spans="1:24" x14ac:dyDescent="0.3">
      <c r="A25" t="s">
        <v>97</v>
      </c>
      <c r="B25" s="1">
        <v>45659</v>
      </c>
      <c r="C25">
        <f t="shared" si="2"/>
        <v>2</v>
      </c>
      <c r="D25">
        <f t="shared" si="3"/>
        <v>1</v>
      </c>
      <c r="E25">
        <f t="shared" si="4"/>
        <v>2025</v>
      </c>
      <c r="F25" t="str">
        <f t="shared" si="0"/>
        <v>Jan</v>
      </c>
      <c r="G25" t="str">
        <f t="shared" si="1"/>
        <v>Thu</v>
      </c>
      <c r="H25" t="str">
        <f t="shared" si="5"/>
        <v>Weekday</v>
      </c>
      <c r="I25" s="2">
        <v>0.4375</v>
      </c>
      <c r="J25" s="2">
        <f t="shared" si="6"/>
        <v>0.4375</v>
      </c>
      <c r="K25" t="s">
        <v>98</v>
      </c>
      <c r="L25" t="s">
        <v>58</v>
      </c>
      <c r="M25" t="s">
        <v>45</v>
      </c>
      <c r="N25" t="s">
        <v>40</v>
      </c>
      <c r="O25" t="s">
        <v>41</v>
      </c>
      <c r="P25">
        <v>3</v>
      </c>
      <c r="Q25">
        <v>105</v>
      </c>
      <c r="R25">
        <v>325</v>
      </c>
      <c r="S25">
        <v>0</v>
      </c>
      <c r="T25">
        <v>315</v>
      </c>
      <c r="U25" t="s">
        <v>42</v>
      </c>
      <c r="V25">
        <v>55</v>
      </c>
      <c r="W25" t="s">
        <v>35</v>
      </c>
      <c r="X25">
        <v>2</v>
      </c>
    </row>
    <row r="26" spans="1:24" x14ac:dyDescent="0.3">
      <c r="A26" t="s">
        <v>99</v>
      </c>
      <c r="B26" s="1">
        <v>45665</v>
      </c>
      <c r="C26">
        <f t="shared" si="2"/>
        <v>8</v>
      </c>
      <c r="D26">
        <f t="shared" si="3"/>
        <v>1</v>
      </c>
      <c r="E26">
        <f t="shared" si="4"/>
        <v>2025</v>
      </c>
      <c r="F26" t="str">
        <f t="shared" si="0"/>
        <v>Jan</v>
      </c>
      <c r="G26" t="str">
        <f t="shared" si="1"/>
        <v>Wed</v>
      </c>
      <c r="H26" t="str">
        <f t="shared" si="5"/>
        <v>Weekday</v>
      </c>
      <c r="I26" s="2">
        <v>0.37847222222222221</v>
      </c>
      <c r="J26" s="2">
        <f t="shared" si="6"/>
        <v>0.37847222222222221</v>
      </c>
      <c r="K26" t="s">
        <v>100</v>
      </c>
      <c r="L26" t="s">
        <v>87</v>
      </c>
      <c r="M26" t="s">
        <v>69</v>
      </c>
      <c r="N26" t="s">
        <v>79</v>
      </c>
      <c r="O26" t="s">
        <v>80</v>
      </c>
      <c r="P26">
        <v>5</v>
      </c>
      <c r="Q26">
        <v>67</v>
      </c>
      <c r="R26">
        <v>335</v>
      </c>
      <c r="S26">
        <v>5</v>
      </c>
      <c r="T26">
        <v>330</v>
      </c>
      <c r="U26" t="s">
        <v>64</v>
      </c>
      <c r="V26">
        <v>38</v>
      </c>
      <c r="W26" t="s">
        <v>23</v>
      </c>
      <c r="X26">
        <v>0</v>
      </c>
    </row>
    <row r="27" spans="1:24" x14ac:dyDescent="0.3">
      <c r="A27" t="s">
        <v>101</v>
      </c>
      <c r="B27" s="1">
        <v>45664</v>
      </c>
      <c r="C27">
        <f t="shared" si="2"/>
        <v>7</v>
      </c>
      <c r="D27">
        <f t="shared" si="3"/>
        <v>1</v>
      </c>
      <c r="E27">
        <f t="shared" si="4"/>
        <v>2025</v>
      </c>
      <c r="F27" t="str">
        <f t="shared" si="0"/>
        <v>Jan</v>
      </c>
      <c r="G27" t="str">
        <f t="shared" si="1"/>
        <v>Tue</v>
      </c>
      <c r="H27" t="str">
        <f t="shared" si="5"/>
        <v>Weekday</v>
      </c>
      <c r="I27" s="2">
        <v>0.37847222222222221</v>
      </c>
      <c r="J27" s="2">
        <f t="shared" si="6"/>
        <v>0.37847222222222221</v>
      </c>
      <c r="K27" t="s">
        <v>102</v>
      </c>
      <c r="L27" t="s">
        <v>31</v>
      </c>
      <c r="M27" t="s">
        <v>19</v>
      </c>
      <c r="N27" t="s">
        <v>55</v>
      </c>
      <c r="O27" t="s">
        <v>21</v>
      </c>
      <c r="P27">
        <v>1</v>
      </c>
      <c r="Q27">
        <v>104</v>
      </c>
      <c r="R27">
        <v>104</v>
      </c>
      <c r="S27">
        <v>5</v>
      </c>
      <c r="T27">
        <v>99</v>
      </c>
      <c r="U27" t="s">
        <v>64</v>
      </c>
      <c r="V27">
        <v>33</v>
      </c>
      <c r="W27" t="s">
        <v>23</v>
      </c>
      <c r="X27">
        <v>4</v>
      </c>
    </row>
    <row r="28" spans="1:24" x14ac:dyDescent="0.3">
      <c r="A28" t="s">
        <v>103</v>
      </c>
      <c r="B28" s="1">
        <v>45661</v>
      </c>
      <c r="C28">
        <f t="shared" si="2"/>
        <v>4</v>
      </c>
      <c r="D28">
        <f t="shared" si="3"/>
        <v>1</v>
      </c>
      <c r="E28">
        <f t="shared" si="4"/>
        <v>2025</v>
      </c>
      <c r="F28" t="str">
        <f t="shared" si="0"/>
        <v>Jan</v>
      </c>
      <c r="G28" t="str">
        <f t="shared" si="1"/>
        <v>Sat</v>
      </c>
      <c r="H28" t="str">
        <f t="shared" si="5"/>
        <v>Weekend</v>
      </c>
      <c r="I28" s="2">
        <v>0.78125</v>
      </c>
      <c r="J28" s="2">
        <f t="shared" si="6"/>
        <v>0.78125</v>
      </c>
      <c r="K28" t="s">
        <v>104</v>
      </c>
      <c r="L28" t="s">
        <v>31</v>
      </c>
      <c r="M28" t="s">
        <v>19</v>
      </c>
      <c r="N28" t="s">
        <v>105</v>
      </c>
      <c r="O28" t="s">
        <v>106</v>
      </c>
      <c r="P28">
        <v>5</v>
      </c>
      <c r="Q28">
        <v>20</v>
      </c>
      <c r="R28">
        <v>110</v>
      </c>
      <c r="S28">
        <v>5</v>
      </c>
      <c r="T28">
        <v>95</v>
      </c>
      <c r="U28" t="s">
        <v>42</v>
      </c>
      <c r="V28">
        <v>51</v>
      </c>
      <c r="W28" t="s">
        <v>23</v>
      </c>
      <c r="X28">
        <v>1</v>
      </c>
    </row>
    <row r="29" spans="1:24" x14ac:dyDescent="0.3">
      <c r="A29" t="s">
        <v>107</v>
      </c>
      <c r="B29" s="1">
        <v>45658</v>
      </c>
      <c r="C29">
        <f t="shared" si="2"/>
        <v>1</v>
      </c>
      <c r="D29">
        <f t="shared" si="3"/>
        <v>1</v>
      </c>
      <c r="E29">
        <f t="shared" si="4"/>
        <v>2025</v>
      </c>
      <c r="F29" t="str">
        <f t="shared" si="0"/>
        <v>Jan</v>
      </c>
      <c r="G29" t="str">
        <f t="shared" si="1"/>
        <v>Wed</v>
      </c>
      <c r="H29" t="str">
        <f t="shared" si="5"/>
        <v>Weekday</v>
      </c>
      <c r="I29" s="2">
        <v>0.76041666666666663</v>
      </c>
      <c r="J29" s="2">
        <f t="shared" si="6"/>
        <v>0.76041666666666663</v>
      </c>
      <c r="K29" t="s">
        <v>108</v>
      </c>
      <c r="L29" t="s">
        <v>58</v>
      </c>
      <c r="M29" t="s">
        <v>32</v>
      </c>
      <c r="N29" t="s">
        <v>93</v>
      </c>
      <c r="O29" t="s">
        <v>94</v>
      </c>
      <c r="P29">
        <v>2</v>
      </c>
      <c r="Q29">
        <v>50</v>
      </c>
      <c r="R29">
        <v>100</v>
      </c>
      <c r="S29">
        <v>10</v>
      </c>
      <c r="T29">
        <v>90</v>
      </c>
      <c r="U29" t="s">
        <v>64</v>
      </c>
      <c r="V29">
        <v>51</v>
      </c>
      <c r="W29" t="s">
        <v>23</v>
      </c>
      <c r="X29">
        <v>5</v>
      </c>
    </row>
    <row r="30" spans="1:24" x14ac:dyDescent="0.3">
      <c r="A30" t="s">
        <v>109</v>
      </c>
      <c r="B30" s="1">
        <v>45659</v>
      </c>
      <c r="C30">
        <f t="shared" si="2"/>
        <v>2</v>
      </c>
      <c r="D30">
        <f t="shared" si="3"/>
        <v>1</v>
      </c>
      <c r="E30">
        <f t="shared" si="4"/>
        <v>2025</v>
      </c>
      <c r="F30" t="str">
        <f t="shared" si="0"/>
        <v>Jan</v>
      </c>
      <c r="G30" t="str">
        <f t="shared" si="1"/>
        <v>Thu</v>
      </c>
      <c r="H30" t="str">
        <f t="shared" si="5"/>
        <v>Weekday</v>
      </c>
      <c r="I30" s="2">
        <v>0.76041666666666663</v>
      </c>
      <c r="J30" s="2">
        <f t="shared" si="6"/>
        <v>0.76041666666666663</v>
      </c>
      <c r="K30" t="s">
        <v>110</v>
      </c>
      <c r="L30" t="s">
        <v>87</v>
      </c>
      <c r="M30" t="s">
        <v>32</v>
      </c>
      <c r="N30" t="s">
        <v>40</v>
      </c>
      <c r="O30" t="s">
        <v>41</v>
      </c>
      <c r="P30">
        <v>4</v>
      </c>
      <c r="Q30">
        <v>52</v>
      </c>
      <c r="R30">
        <v>208</v>
      </c>
      <c r="S30">
        <v>10</v>
      </c>
      <c r="T30">
        <v>198</v>
      </c>
      <c r="U30" t="s">
        <v>22</v>
      </c>
      <c r="V30">
        <v>49</v>
      </c>
      <c r="W30" t="s">
        <v>35</v>
      </c>
      <c r="X30">
        <v>1</v>
      </c>
    </row>
    <row r="31" spans="1:24" x14ac:dyDescent="0.3">
      <c r="A31" t="s">
        <v>111</v>
      </c>
      <c r="B31" s="1">
        <v>45664</v>
      </c>
      <c r="C31">
        <f t="shared" si="2"/>
        <v>7</v>
      </c>
      <c r="D31">
        <f t="shared" si="3"/>
        <v>1</v>
      </c>
      <c r="E31">
        <f t="shared" si="4"/>
        <v>2025</v>
      </c>
      <c r="F31" t="str">
        <f t="shared" si="0"/>
        <v>Jan</v>
      </c>
      <c r="G31" t="str">
        <f t="shared" si="1"/>
        <v>Tue</v>
      </c>
      <c r="H31" t="str">
        <f t="shared" si="5"/>
        <v>Weekday</v>
      </c>
      <c r="I31" s="2">
        <v>0.78125</v>
      </c>
      <c r="J31" s="2">
        <f t="shared" si="6"/>
        <v>0.78125</v>
      </c>
      <c r="K31" t="s">
        <v>112</v>
      </c>
      <c r="L31" t="s">
        <v>49</v>
      </c>
      <c r="M31" t="s">
        <v>32</v>
      </c>
      <c r="N31" t="s">
        <v>46</v>
      </c>
      <c r="O31" t="s">
        <v>28</v>
      </c>
      <c r="P31">
        <v>5</v>
      </c>
      <c r="Q31">
        <v>114</v>
      </c>
      <c r="R31">
        <v>580</v>
      </c>
      <c r="S31">
        <v>10</v>
      </c>
      <c r="T31">
        <v>560</v>
      </c>
      <c r="U31" t="s">
        <v>22</v>
      </c>
      <c r="V31">
        <v>46</v>
      </c>
      <c r="W31" t="s">
        <v>35</v>
      </c>
      <c r="X31">
        <v>1</v>
      </c>
    </row>
    <row r="32" spans="1:24" x14ac:dyDescent="0.3">
      <c r="A32" t="s">
        <v>113</v>
      </c>
      <c r="B32" s="1">
        <v>45665</v>
      </c>
      <c r="C32">
        <f t="shared" si="2"/>
        <v>8</v>
      </c>
      <c r="D32">
        <f t="shared" si="3"/>
        <v>1</v>
      </c>
      <c r="E32">
        <f t="shared" si="4"/>
        <v>2025</v>
      </c>
      <c r="F32" t="str">
        <f t="shared" si="0"/>
        <v>Jan</v>
      </c>
      <c r="G32" t="str">
        <f t="shared" si="1"/>
        <v>Wed</v>
      </c>
      <c r="H32" t="str">
        <f t="shared" si="5"/>
        <v>Weekday</v>
      </c>
      <c r="I32" s="2">
        <v>0.37847222222222221</v>
      </c>
      <c r="J32" s="2">
        <f t="shared" si="6"/>
        <v>0.37847222222222221</v>
      </c>
      <c r="K32" t="s">
        <v>114</v>
      </c>
      <c r="L32" t="s">
        <v>90</v>
      </c>
      <c r="M32" t="s">
        <v>39</v>
      </c>
      <c r="N32" t="s">
        <v>33</v>
      </c>
      <c r="O32" t="s">
        <v>21</v>
      </c>
      <c r="P32">
        <v>5</v>
      </c>
      <c r="Q32">
        <v>82</v>
      </c>
      <c r="R32">
        <v>410</v>
      </c>
      <c r="S32">
        <v>0</v>
      </c>
      <c r="T32">
        <v>410</v>
      </c>
      <c r="U32" t="s">
        <v>22</v>
      </c>
      <c r="V32">
        <v>24</v>
      </c>
      <c r="W32" t="s">
        <v>23</v>
      </c>
      <c r="X32">
        <v>4</v>
      </c>
    </row>
    <row r="33" spans="1:24" x14ac:dyDescent="0.3">
      <c r="A33" t="s">
        <v>115</v>
      </c>
      <c r="B33" s="1">
        <v>45667</v>
      </c>
      <c r="C33">
        <f t="shared" si="2"/>
        <v>10</v>
      </c>
      <c r="D33">
        <f t="shared" si="3"/>
        <v>1</v>
      </c>
      <c r="E33">
        <f t="shared" si="4"/>
        <v>2025</v>
      </c>
      <c r="F33" t="str">
        <f t="shared" si="0"/>
        <v>Jan</v>
      </c>
      <c r="G33" t="str">
        <f t="shared" si="1"/>
        <v>Fri</v>
      </c>
      <c r="H33" t="str">
        <f t="shared" si="5"/>
        <v>Weekday</v>
      </c>
      <c r="I33" s="2">
        <v>0.4375</v>
      </c>
      <c r="J33" s="2">
        <f t="shared" si="6"/>
        <v>0.4375</v>
      </c>
      <c r="K33" t="s">
        <v>116</v>
      </c>
      <c r="L33" t="s">
        <v>31</v>
      </c>
      <c r="M33" t="s">
        <v>45</v>
      </c>
      <c r="N33" t="s">
        <v>105</v>
      </c>
      <c r="O33" t="s">
        <v>106</v>
      </c>
      <c r="P33">
        <v>1</v>
      </c>
      <c r="Q33">
        <v>95</v>
      </c>
      <c r="R33">
        <v>95</v>
      </c>
      <c r="S33">
        <v>5</v>
      </c>
      <c r="T33">
        <v>90</v>
      </c>
      <c r="U33" t="s">
        <v>64</v>
      </c>
      <c r="V33">
        <v>57</v>
      </c>
      <c r="W33" t="s">
        <v>35</v>
      </c>
      <c r="X33">
        <v>2</v>
      </c>
    </row>
    <row r="34" spans="1:24" x14ac:dyDescent="0.3">
      <c r="A34" t="s">
        <v>117</v>
      </c>
      <c r="B34" s="1">
        <v>45662</v>
      </c>
      <c r="C34">
        <f t="shared" si="2"/>
        <v>5</v>
      </c>
      <c r="D34">
        <f t="shared" si="3"/>
        <v>1</v>
      </c>
      <c r="E34">
        <f t="shared" si="4"/>
        <v>2025</v>
      </c>
      <c r="F34" t="str">
        <f t="shared" si="0"/>
        <v>Jan</v>
      </c>
      <c r="G34" t="str">
        <f t="shared" si="1"/>
        <v>Sun</v>
      </c>
      <c r="H34" t="str">
        <f t="shared" si="5"/>
        <v>Weekend</v>
      </c>
      <c r="I34" s="2">
        <v>0.78125</v>
      </c>
      <c r="J34" s="2">
        <f t="shared" si="6"/>
        <v>0.78125</v>
      </c>
      <c r="K34" t="s">
        <v>118</v>
      </c>
      <c r="L34" t="s">
        <v>52</v>
      </c>
      <c r="M34" t="s">
        <v>39</v>
      </c>
      <c r="N34" t="s">
        <v>79</v>
      </c>
      <c r="O34" t="s">
        <v>80</v>
      </c>
      <c r="P34">
        <v>2</v>
      </c>
      <c r="Q34">
        <v>32</v>
      </c>
      <c r="R34">
        <v>64</v>
      </c>
      <c r="S34">
        <v>0</v>
      </c>
      <c r="T34">
        <v>64</v>
      </c>
      <c r="U34" t="s">
        <v>64</v>
      </c>
      <c r="V34">
        <v>34</v>
      </c>
      <c r="W34" t="s">
        <v>23</v>
      </c>
      <c r="X34">
        <v>0</v>
      </c>
    </row>
    <row r="35" spans="1:24" x14ac:dyDescent="0.3">
      <c r="A35" t="s">
        <v>119</v>
      </c>
      <c r="B35" s="1">
        <v>45661</v>
      </c>
      <c r="C35">
        <f t="shared" si="2"/>
        <v>4</v>
      </c>
      <c r="D35">
        <f t="shared" si="3"/>
        <v>1</v>
      </c>
      <c r="E35">
        <f t="shared" si="4"/>
        <v>2025</v>
      </c>
      <c r="F35" t="str">
        <f t="shared" si="0"/>
        <v>Jan</v>
      </c>
      <c r="G35" t="str">
        <f t="shared" si="1"/>
        <v>Sat</v>
      </c>
      <c r="H35" t="str">
        <f t="shared" si="5"/>
        <v>Weekend</v>
      </c>
      <c r="I35" s="2">
        <v>0.37847222222222221</v>
      </c>
      <c r="J35" s="2">
        <f t="shared" si="6"/>
        <v>0.37847222222222221</v>
      </c>
      <c r="K35" t="s">
        <v>120</v>
      </c>
      <c r="L35" t="s">
        <v>38</v>
      </c>
      <c r="M35" t="s">
        <v>78</v>
      </c>
      <c r="N35" t="s">
        <v>93</v>
      </c>
      <c r="O35" t="s">
        <v>94</v>
      </c>
      <c r="P35">
        <v>1</v>
      </c>
      <c r="Q35">
        <v>87</v>
      </c>
      <c r="R35">
        <v>87</v>
      </c>
      <c r="S35">
        <v>0</v>
      </c>
      <c r="T35">
        <v>87</v>
      </c>
      <c r="U35" t="s">
        <v>64</v>
      </c>
      <c r="V35">
        <v>47</v>
      </c>
      <c r="W35" t="s">
        <v>23</v>
      </c>
      <c r="X35">
        <v>2</v>
      </c>
    </row>
    <row r="36" spans="1:24" x14ac:dyDescent="0.3">
      <c r="A36" t="s">
        <v>121</v>
      </c>
      <c r="B36" s="1">
        <v>45664</v>
      </c>
      <c r="C36">
        <f t="shared" si="2"/>
        <v>7</v>
      </c>
      <c r="D36">
        <f t="shared" si="3"/>
        <v>1</v>
      </c>
      <c r="E36">
        <f t="shared" si="4"/>
        <v>2025</v>
      </c>
      <c r="F36" t="str">
        <f t="shared" si="0"/>
        <v>Jan</v>
      </c>
      <c r="G36" t="str">
        <f t="shared" si="1"/>
        <v>Tue</v>
      </c>
      <c r="H36" t="str">
        <f t="shared" si="5"/>
        <v>Weekday</v>
      </c>
      <c r="I36" s="2">
        <v>0.76041666666666663</v>
      </c>
      <c r="J36" s="2">
        <f t="shared" si="6"/>
        <v>0.76041666666666663</v>
      </c>
      <c r="K36" t="s">
        <v>122</v>
      </c>
      <c r="L36" t="s">
        <v>58</v>
      </c>
      <c r="M36" t="s">
        <v>19</v>
      </c>
      <c r="N36" t="s">
        <v>46</v>
      </c>
      <c r="O36" t="s">
        <v>28</v>
      </c>
      <c r="P36">
        <v>5</v>
      </c>
      <c r="Q36">
        <v>36</v>
      </c>
      <c r="R36">
        <v>180</v>
      </c>
      <c r="S36">
        <v>0</v>
      </c>
      <c r="T36">
        <v>180</v>
      </c>
      <c r="U36" t="s">
        <v>42</v>
      </c>
      <c r="V36">
        <v>19</v>
      </c>
      <c r="W36" t="s">
        <v>23</v>
      </c>
      <c r="X36">
        <v>5</v>
      </c>
    </row>
    <row r="37" spans="1:24" x14ac:dyDescent="0.3">
      <c r="A37" t="s">
        <v>123</v>
      </c>
      <c r="B37" s="1">
        <v>45664</v>
      </c>
      <c r="C37">
        <f t="shared" si="2"/>
        <v>7</v>
      </c>
      <c r="D37">
        <f t="shared" si="3"/>
        <v>1</v>
      </c>
      <c r="E37">
        <f t="shared" si="4"/>
        <v>2025</v>
      </c>
      <c r="F37" t="str">
        <f t="shared" si="0"/>
        <v>Jan</v>
      </c>
      <c r="G37" t="str">
        <f t="shared" si="1"/>
        <v>Tue</v>
      </c>
      <c r="H37" t="str">
        <f t="shared" si="5"/>
        <v>Weekday</v>
      </c>
      <c r="I37" s="2">
        <v>0.4375</v>
      </c>
      <c r="J37" s="2">
        <f t="shared" si="6"/>
        <v>0.4375</v>
      </c>
      <c r="K37" t="s">
        <v>124</v>
      </c>
      <c r="L37" t="s">
        <v>58</v>
      </c>
      <c r="M37" t="s">
        <v>19</v>
      </c>
      <c r="N37" t="s">
        <v>79</v>
      </c>
      <c r="O37" t="s">
        <v>80</v>
      </c>
      <c r="P37">
        <v>2</v>
      </c>
      <c r="Q37">
        <v>52</v>
      </c>
      <c r="R37">
        <v>104</v>
      </c>
      <c r="S37">
        <v>0</v>
      </c>
      <c r="T37">
        <v>104</v>
      </c>
      <c r="U37" t="s">
        <v>64</v>
      </c>
      <c r="V37">
        <v>53</v>
      </c>
      <c r="W37" t="s">
        <v>23</v>
      </c>
      <c r="X37">
        <v>3</v>
      </c>
    </row>
    <row r="38" spans="1:24" x14ac:dyDescent="0.3">
      <c r="A38" t="s">
        <v>125</v>
      </c>
      <c r="B38" s="1">
        <v>45665</v>
      </c>
      <c r="C38">
        <f t="shared" si="2"/>
        <v>8</v>
      </c>
      <c r="D38">
        <f t="shared" si="3"/>
        <v>1</v>
      </c>
      <c r="E38">
        <f t="shared" si="4"/>
        <v>2025</v>
      </c>
      <c r="F38" t="str">
        <f t="shared" si="0"/>
        <v>Jan</v>
      </c>
      <c r="G38" t="str">
        <f t="shared" si="1"/>
        <v>Wed</v>
      </c>
      <c r="H38" t="str">
        <f t="shared" si="5"/>
        <v>Weekday</v>
      </c>
      <c r="I38" s="2">
        <v>0.4375</v>
      </c>
      <c r="J38" s="2">
        <f t="shared" si="6"/>
        <v>0.4375</v>
      </c>
      <c r="K38" t="s">
        <v>126</v>
      </c>
      <c r="L38" t="s">
        <v>90</v>
      </c>
      <c r="M38" t="s">
        <v>39</v>
      </c>
      <c r="N38" t="s">
        <v>46</v>
      </c>
      <c r="O38" t="s">
        <v>28</v>
      </c>
      <c r="P38">
        <v>2</v>
      </c>
      <c r="Q38">
        <v>105</v>
      </c>
      <c r="R38">
        <v>210</v>
      </c>
      <c r="S38">
        <v>0</v>
      </c>
      <c r="T38">
        <v>210</v>
      </c>
      <c r="U38" t="s">
        <v>64</v>
      </c>
      <c r="V38">
        <v>24</v>
      </c>
      <c r="W38" t="s">
        <v>35</v>
      </c>
      <c r="X38">
        <v>1</v>
      </c>
    </row>
    <row r="39" spans="1:24" x14ac:dyDescent="0.3">
      <c r="A39" t="s">
        <v>127</v>
      </c>
      <c r="B39" s="1">
        <v>45664</v>
      </c>
      <c r="C39">
        <f t="shared" si="2"/>
        <v>7</v>
      </c>
      <c r="D39">
        <f t="shared" si="3"/>
        <v>1</v>
      </c>
      <c r="E39">
        <f t="shared" si="4"/>
        <v>2025</v>
      </c>
      <c r="F39" t="str">
        <f t="shared" si="0"/>
        <v>Jan</v>
      </c>
      <c r="G39" t="str">
        <f t="shared" si="1"/>
        <v>Tue</v>
      </c>
      <c r="H39" t="str">
        <f t="shared" si="5"/>
        <v>Weekday</v>
      </c>
      <c r="I39" s="2">
        <v>0.78125</v>
      </c>
      <c r="J39" s="2">
        <f t="shared" si="6"/>
        <v>0.78125</v>
      </c>
      <c r="K39" t="s">
        <v>128</v>
      </c>
      <c r="L39" t="s">
        <v>31</v>
      </c>
      <c r="M39" t="s">
        <v>59</v>
      </c>
      <c r="N39" t="s">
        <v>79</v>
      </c>
      <c r="O39" t="s">
        <v>80</v>
      </c>
      <c r="P39">
        <v>4</v>
      </c>
      <c r="Q39">
        <v>85</v>
      </c>
      <c r="R39">
        <v>350</v>
      </c>
      <c r="S39">
        <v>5</v>
      </c>
      <c r="T39">
        <v>335</v>
      </c>
      <c r="U39" t="s">
        <v>34</v>
      </c>
      <c r="V39">
        <v>36</v>
      </c>
      <c r="W39" t="s">
        <v>35</v>
      </c>
      <c r="X39">
        <v>2</v>
      </c>
    </row>
    <row r="40" spans="1:24" x14ac:dyDescent="0.3">
      <c r="A40" t="s">
        <v>129</v>
      </c>
      <c r="B40" s="1">
        <v>45667</v>
      </c>
      <c r="C40">
        <f t="shared" si="2"/>
        <v>10</v>
      </c>
      <c r="D40">
        <f t="shared" si="3"/>
        <v>1</v>
      </c>
      <c r="E40">
        <f t="shared" si="4"/>
        <v>2025</v>
      </c>
      <c r="F40" t="str">
        <f t="shared" si="0"/>
        <v>Jan</v>
      </c>
      <c r="G40" t="str">
        <f t="shared" si="1"/>
        <v>Fri</v>
      </c>
      <c r="H40" t="str">
        <f t="shared" si="5"/>
        <v>Weekday</v>
      </c>
      <c r="I40" s="2">
        <v>0.78125</v>
      </c>
      <c r="J40" s="2">
        <f t="shared" si="6"/>
        <v>0.78125</v>
      </c>
      <c r="K40" t="s">
        <v>130</v>
      </c>
      <c r="L40" t="s">
        <v>58</v>
      </c>
      <c r="M40" t="s">
        <v>32</v>
      </c>
      <c r="N40" t="s">
        <v>27</v>
      </c>
      <c r="O40" t="s">
        <v>28</v>
      </c>
      <c r="P40">
        <v>1</v>
      </c>
      <c r="Q40">
        <v>52</v>
      </c>
      <c r="R40">
        <v>52</v>
      </c>
      <c r="S40">
        <v>10</v>
      </c>
      <c r="T40">
        <v>42</v>
      </c>
      <c r="U40" t="s">
        <v>64</v>
      </c>
      <c r="V40">
        <v>32</v>
      </c>
      <c r="W40" t="s">
        <v>35</v>
      </c>
      <c r="X40">
        <v>2</v>
      </c>
    </row>
    <row r="41" spans="1:24" x14ac:dyDescent="0.3">
      <c r="A41" t="s">
        <v>131</v>
      </c>
      <c r="B41" s="1">
        <v>45662</v>
      </c>
      <c r="C41">
        <f t="shared" si="2"/>
        <v>5</v>
      </c>
      <c r="D41">
        <f t="shared" si="3"/>
        <v>1</v>
      </c>
      <c r="E41">
        <f t="shared" si="4"/>
        <v>2025</v>
      </c>
      <c r="F41" t="str">
        <f t="shared" si="0"/>
        <v>Jan</v>
      </c>
      <c r="G41" t="str">
        <f t="shared" si="1"/>
        <v>Sun</v>
      </c>
      <c r="H41" t="str">
        <f t="shared" si="5"/>
        <v>Weekend</v>
      </c>
      <c r="I41" s="2">
        <v>0.4375</v>
      </c>
      <c r="J41" s="2">
        <f t="shared" si="6"/>
        <v>0.4375</v>
      </c>
      <c r="K41" t="s">
        <v>132</v>
      </c>
      <c r="L41" t="s">
        <v>31</v>
      </c>
      <c r="M41" t="s">
        <v>78</v>
      </c>
      <c r="N41" t="s">
        <v>93</v>
      </c>
      <c r="O41" t="s">
        <v>94</v>
      </c>
      <c r="P41">
        <v>4</v>
      </c>
      <c r="Q41">
        <v>98</v>
      </c>
      <c r="R41">
        <v>392</v>
      </c>
      <c r="S41">
        <v>10</v>
      </c>
      <c r="T41">
        <v>382</v>
      </c>
      <c r="U41" t="s">
        <v>64</v>
      </c>
      <c r="V41">
        <v>15</v>
      </c>
      <c r="W41" t="s">
        <v>23</v>
      </c>
      <c r="X41">
        <v>2</v>
      </c>
    </row>
    <row r="42" spans="1:24" x14ac:dyDescent="0.3">
      <c r="A42" t="s">
        <v>133</v>
      </c>
      <c r="B42" s="1">
        <v>45666</v>
      </c>
      <c r="C42">
        <f t="shared" si="2"/>
        <v>9</v>
      </c>
      <c r="D42">
        <f t="shared" si="3"/>
        <v>1</v>
      </c>
      <c r="E42">
        <f t="shared" si="4"/>
        <v>2025</v>
      </c>
      <c r="F42" t="str">
        <f t="shared" si="0"/>
        <v>Jan</v>
      </c>
      <c r="G42" t="str">
        <f t="shared" si="1"/>
        <v>Thu</v>
      </c>
      <c r="H42" t="str">
        <f t="shared" si="5"/>
        <v>Weekday</v>
      </c>
      <c r="I42" s="2">
        <v>0.76041666666666663</v>
      </c>
      <c r="J42" s="2">
        <f t="shared" si="6"/>
        <v>0.76041666666666663</v>
      </c>
      <c r="K42" t="s">
        <v>134</v>
      </c>
      <c r="L42" t="s">
        <v>58</v>
      </c>
      <c r="M42" t="s">
        <v>78</v>
      </c>
      <c r="N42" t="s">
        <v>79</v>
      </c>
      <c r="O42" t="s">
        <v>80</v>
      </c>
      <c r="P42">
        <v>6</v>
      </c>
      <c r="Q42">
        <v>98</v>
      </c>
      <c r="R42">
        <v>588</v>
      </c>
      <c r="S42">
        <v>0</v>
      </c>
      <c r="T42">
        <v>588</v>
      </c>
      <c r="U42" t="s">
        <v>64</v>
      </c>
      <c r="V42">
        <v>57</v>
      </c>
      <c r="W42" t="s">
        <v>23</v>
      </c>
      <c r="X42">
        <v>4</v>
      </c>
    </row>
    <row r="43" spans="1:24" x14ac:dyDescent="0.3">
      <c r="A43" t="s">
        <v>135</v>
      </c>
      <c r="B43" s="1">
        <v>45660</v>
      </c>
      <c r="C43">
        <f t="shared" si="2"/>
        <v>3</v>
      </c>
      <c r="D43">
        <f t="shared" si="3"/>
        <v>1</v>
      </c>
      <c r="E43">
        <f t="shared" si="4"/>
        <v>2025</v>
      </c>
      <c r="F43" t="str">
        <f t="shared" si="0"/>
        <v>Jan</v>
      </c>
      <c r="G43" t="str">
        <f t="shared" si="1"/>
        <v>Fri</v>
      </c>
      <c r="H43" t="str">
        <f t="shared" si="5"/>
        <v>Weekday</v>
      </c>
      <c r="I43" s="2">
        <v>0.37847222222222221</v>
      </c>
      <c r="J43" s="2">
        <f t="shared" si="6"/>
        <v>0.37847222222222221</v>
      </c>
      <c r="K43" t="s">
        <v>136</v>
      </c>
      <c r="L43" t="s">
        <v>90</v>
      </c>
      <c r="M43" t="s">
        <v>19</v>
      </c>
      <c r="N43" t="s">
        <v>20</v>
      </c>
      <c r="O43" t="s">
        <v>21</v>
      </c>
      <c r="P43">
        <v>6</v>
      </c>
      <c r="Q43">
        <v>84</v>
      </c>
      <c r="R43">
        <v>504</v>
      </c>
      <c r="S43">
        <v>0</v>
      </c>
      <c r="T43">
        <v>504</v>
      </c>
      <c r="U43" t="s">
        <v>22</v>
      </c>
      <c r="V43">
        <v>16</v>
      </c>
      <c r="W43" t="s">
        <v>35</v>
      </c>
      <c r="X43">
        <v>2</v>
      </c>
    </row>
    <row r="44" spans="1:24" x14ac:dyDescent="0.3">
      <c r="A44" t="s">
        <v>137</v>
      </c>
      <c r="B44" s="1">
        <v>45662</v>
      </c>
      <c r="C44">
        <f t="shared" si="2"/>
        <v>5</v>
      </c>
      <c r="D44">
        <f t="shared" si="3"/>
        <v>1</v>
      </c>
      <c r="E44">
        <f t="shared" si="4"/>
        <v>2025</v>
      </c>
      <c r="F44" t="str">
        <f t="shared" si="0"/>
        <v>Jan</v>
      </c>
      <c r="G44" t="str">
        <f t="shared" si="1"/>
        <v>Sun</v>
      </c>
      <c r="H44" t="str">
        <f t="shared" si="5"/>
        <v>Weekend</v>
      </c>
      <c r="I44" s="2">
        <v>0.37847222222222221</v>
      </c>
      <c r="J44" s="2">
        <f t="shared" si="6"/>
        <v>0.37847222222222221</v>
      </c>
      <c r="K44" t="s">
        <v>138</v>
      </c>
      <c r="L44" t="s">
        <v>87</v>
      </c>
      <c r="M44" t="s">
        <v>59</v>
      </c>
      <c r="N44" t="s">
        <v>93</v>
      </c>
      <c r="O44" t="s">
        <v>94</v>
      </c>
      <c r="P44">
        <v>5</v>
      </c>
      <c r="Q44">
        <v>69</v>
      </c>
      <c r="R44">
        <v>345</v>
      </c>
      <c r="S44">
        <v>0</v>
      </c>
      <c r="T44">
        <v>345</v>
      </c>
      <c r="U44" t="s">
        <v>42</v>
      </c>
      <c r="V44">
        <v>53</v>
      </c>
      <c r="W44" t="s">
        <v>23</v>
      </c>
      <c r="X44">
        <v>2</v>
      </c>
    </row>
    <row r="45" spans="1:24" x14ac:dyDescent="0.3">
      <c r="A45" t="s">
        <v>139</v>
      </c>
      <c r="B45" s="1">
        <v>45663</v>
      </c>
      <c r="C45">
        <f t="shared" si="2"/>
        <v>6</v>
      </c>
      <c r="D45">
        <f t="shared" si="3"/>
        <v>1</v>
      </c>
      <c r="E45">
        <f t="shared" si="4"/>
        <v>2025</v>
      </c>
      <c r="F45" t="str">
        <f t="shared" si="0"/>
        <v>Jan</v>
      </c>
      <c r="G45" t="str">
        <f t="shared" si="1"/>
        <v>Mon</v>
      </c>
      <c r="H45" t="str">
        <f t="shared" si="5"/>
        <v>Weekday</v>
      </c>
      <c r="I45" s="2">
        <v>0.78125</v>
      </c>
      <c r="J45" s="2">
        <f t="shared" si="6"/>
        <v>0.78125</v>
      </c>
      <c r="K45" t="s">
        <v>140</v>
      </c>
      <c r="L45" t="s">
        <v>52</v>
      </c>
      <c r="M45" t="s">
        <v>59</v>
      </c>
      <c r="N45" t="s">
        <v>79</v>
      </c>
      <c r="O45" t="s">
        <v>80</v>
      </c>
      <c r="P45">
        <v>1</v>
      </c>
      <c r="Q45">
        <v>63</v>
      </c>
      <c r="R45">
        <v>63</v>
      </c>
      <c r="S45">
        <v>0</v>
      </c>
      <c r="T45">
        <v>63</v>
      </c>
      <c r="U45" t="s">
        <v>22</v>
      </c>
      <c r="V45">
        <v>18</v>
      </c>
      <c r="W45" t="s">
        <v>23</v>
      </c>
      <c r="X45">
        <v>1</v>
      </c>
    </row>
    <row r="46" spans="1:24" x14ac:dyDescent="0.3">
      <c r="A46" t="s">
        <v>141</v>
      </c>
      <c r="B46" s="1">
        <v>45665</v>
      </c>
      <c r="C46">
        <f t="shared" si="2"/>
        <v>8</v>
      </c>
      <c r="D46">
        <f t="shared" si="3"/>
        <v>1</v>
      </c>
      <c r="E46">
        <f t="shared" si="4"/>
        <v>2025</v>
      </c>
      <c r="F46" t="str">
        <f t="shared" si="0"/>
        <v>Jan</v>
      </c>
      <c r="G46" t="str">
        <f t="shared" si="1"/>
        <v>Wed</v>
      </c>
      <c r="H46" t="str">
        <f t="shared" si="5"/>
        <v>Weekday</v>
      </c>
      <c r="I46" s="2">
        <v>0.78125</v>
      </c>
      <c r="J46" s="2">
        <f t="shared" si="6"/>
        <v>0.78125</v>
      </c>
      <c r="K46" t="s">
        <v>142</v>
      </c>
      <c r="L46" t="s">
        <v>38</v>
      </c>
      <c r="M46" t="s">
        <v>39</v>
      </c>
      <c r="N46" t="s">
        <v>79</v>
      </c>
      <c r="O46" t="s">
        <v>80</v>
      </c>
      <c r="P46">
        <v>1</v>
      </c>
      <c r="Q46">
        <v>79</v>
      </c>
      <c r="R46">
        <v>79</v>
      </c>
      <c r="S46">
        <v>10</v>
      </c>
      <c r="T46">
        <v>69</v>
      </c>
      <c r="U46" t="s">
        <v>34</v>
      </c>
      <c r="V46">
        <v>54</v>
      </c>
      <c r="W46" t="s">
        <v>35</v>
      </c>
      <c r="X46">
        <v>5</v>
      </c>
    </row>
    <row r="47" spans="1:24" x14ac:dyDescent="0.3">
      <c r="A47" t="s">
        <v>143</v>
      </c>
      <c r="B47" s="1">
        <v>45663</v>
      </c>
      <c r="C47">
        <f t="shared" si="2"/>
        <v>6</v>
      </c>
      <c r="D47">
        <f t="shared" si="3"/>
        <v>1</v>
      </c>
      <c r="E47">
        <f t="shared" si="4"/>
        <v>2025</v>
      </c>
      <c r="F47" t="str">
        <f t="shared" si="0"/>
        <v>Jan</v>
      </c>
      <c r="G47" t="str">
        <f t="shared" si="1"/>
        <v>Mon</v>
      </c>
      <c r="H47" t="str">
        <f t="shared" si="5"/>
        <v>Weekday</v>
      </c>
      <c r="I47" s="2">
        <v>0.78125</v>
      </c>
      <c r="J47" s="2">
        <f t="shared" si="6"/>
        <v>0.78125</v>
      </c>
      <c r="K47" t="s">
        <v>144</v>
      </c>
      <c r="L47" t="s">
        <v>52</v>
      </c>
      <c r="M47" t="s">
        <v>26</v>
      </c>
      <c r="N47" t="s">
        <v>33</v>
      </c>
      <c r="O47" t="s">
        <v>21</v>
      </c>
      <c r="P47">
        <v>4</v>
      </c>
      <c r="Q47">
        <v>74</v>
      </c>
      <c r="R47">
        <v>296</v>
      </c>
      <c r="S47">
        <v>5</v>
      </c>
      <c r="T47">
        <v>291</v>
      </c>
      <c r="U47" t="s">
        <v>64</v>
      </c>
      <c r="V47">
        <v>17</v>
      </c>
      <c r="W47" t="s">
        <v>35</v>
      </c>
      <c r="X47">
        <v>4</v>
      </c>
    </row>
    <row r="48" spans="1:24" x14ac:dyDescent="0.3">
      <c r="A48" t="s">
        <v>145</v>
      </c>
      <c r="B48" s="1">
        <v>45667</v>
      </c>
      <c r="C48">
        <f t="shared" si="2"/>
        <v>10</v>
      </c>
      <c r="D48">
        <f t="shared" si="3"/>
        <v>1</v>
      </c>
      <c r="E48">
        <f t="shared" si="4"/>
        <v>2025</v>
      </c>
      <c r="F48" t="str">
        <f t="shared" si="0"/>
        <v>Jan</v>
      </c>
      <c r="G48" t="str">
        <f t="shared" si="1"/>
        <v>Fri</v>
      </c>
      <c r="H48" t="str">
        <f t="shared" si="5"/>
        <v>Weekday</v>
      </c>
      <c r="I48" s="2">
        <v>0.78125</v>
      </c>
      <c r="J48" s="2">
        <f t="shared" si="6"/>
        <v>0.78125</v>
      </c>
      <c r="K48" t="s">
        <v>146</v>
      </c>
      <c r="L48" t="s">
        <v>31</v>
      </c>
      <c r="M48" t="s">
        <v>32</v>
      </c>
      <c r="N48" t="s">
        <v>20</v>
      </c>
      <c r="O48" t="s">
        <v>21</v>
      </c>
      <c r="P48">
        <v>2</v>
      </c>
      <c r="Q48">
        <v>103</v>
      </c>
      <c r="R48">
        <v>206</v>
      </c>
      <c r="S48">
        <v>10</v>
      </c>
      <c r="T48">
        <v>196</v>
      </c>
      <c r="U48" t="s">
        <v>64</v>
      </c>
      <c r="V48">
        <v>32</v>
      </c>
      <c r="W48" t="s">
        <v>23</v>
      </c>
      <c r="X48">
        <v>3</v>
      </c>
    </row>
    <row r="49" spans="1:24" x14ac:dyDescent="0.3">
      <c r="A49" t="s">
        <v>147</v>
      </c>
      <c r="B49" s="1">
        <v>45660</v>
      </c>
      <c r="C49">
        <f t="shared" si="2"/>
        <v>3</v>
      </c>
      <c r="D49">
        <f t="shared" si="3"/>
        <v>1</v>
      </c>
      <c r="E49">
        <f t="shared" si="4"/>
        <v>2025</v>
      </c>
      <c r="F49" t="str">
        <f t="shared" si="0"/>
        <v>Jan</v>
      </c>
      <c r="G49" t="str">
        <f t="shared" si="1"/>
        <v>Fri</v>
      </c>
      <c r="H49" t="str">
        <f t="shared" si="5"/>
        <v>Weekday</v>
      </c>
      <c r="I49" s="2">
        <v>0.4375</v>
      </c>
      <c r="J49" s="2">
        <f t="shared" si="6"/>
        <v>0.4375</v>
      </c>
      <c r="K49" t="s">
        <v>148</v>
      </c>
      <c r="L49" t="s">
        <v>52</v>
      </c>
      <c r="M49" t="s">
        <v>45</v>
      </c>
      <c r="N49" t="s">
        <v>105</v>
      </c>
      <c r="O49" t="s">
        <v>106</v>
      </c>
      <c r="P49">
        <v>5</v>
      </c>
      <c r="Q49">
        <v>70</v>
      </c>
      <c r="R49">
        <v>350</v>
      </c>
      <c r="S49">
        <v>10</v>
      </c>
      <c r="T49">
        <v>340</v>
      </c>
      <c r="U49" t="s">
        <v>64</v>
      </c>
      <c r="V49">
        <v>44</v>
      </c>
      <c r="W49" t="s">
        <v>35</v>
      </c>
      <c r="X49">
        <v>5</v>
      </c>
    </row>
    <row r="50" spans="1:24" x14ac:dyDescent="0.3">
      <c r="A50" t="s">
        <v>149</v>
      </c>
      <c r="B50" s="1">
        <v>45661</v>
      </c>
      <c r="C50">
        <f t="shared" si="2"/>
        <v>4</v>
      </c>
      <c r="D50">
        <f t="shared" si="3"/>
        <v>1</v>
      </c>
      <c r="E50">
        <f t="shared" si="4"/>
        <v>2025</v>
      </c>
      <c r="F50" t="str">
        <f t="shared" si="0"/>
        <v>Jan</v>
      </c>
      <c r="G50" t="str">
        <f t="shared" si="1"/>
        <v>Sat</v>
      </c>
      <c r="H50" t="str">
        <f t="shared" si="5"/>
        <v>Weekend</v>
      </c>
      <c r="I50" s="2">
        <v>0.4375</v>
      </c>
      <c r="J50" s="2">
        <f t="shared" si="6"/>
        <v>0.4375</v>
      </c>
      <c r="K50" t="s">
        <v>150</v>
      </c>
      <c r="L50" t="s">
        <v>52</v>
      </c>
      <c r="M50" t="s">
        <v>32</v>
      </c>
      <c r="N50" t="s">
        <v>33</v>
      </c>
      <c r="O50" t="s">
        <v>21</v>
      </c>
      <c r="P50">
        <v>2</v>
      </c>
      <c r="Q50">
        <v>11</v>
      </c>
      <c r="R50">
        <v>22</v>
      </c>
      <c r="S50">
        <v>0</v>
      </c>
      <c r="T50">
        <v>22</v>
      </c>
      <c r="U50" t="s">
        <v>22</v>
      </c>
      <c r="V50">
        <v>26</v>
      </c>
      <c r="W50" t="s">
        <v>23</v>
      </c>
      <c r="X50">
        <v>5</v>
      </c>
    </row>
    <row r="51" spans="1:24" x14ac:dyDescent="0.3">
      <c r="A51" t="s">
        <v>151</v>
      </c>
      <c r="B51" s="1">
        <v>45659</v>
      </c>
      <c r="C51">
        <f t="shared" si="2"/>
        <v>2</v>
      </c>
      <c r="D51">
        <f t="shared" si="3"/>
        <v>1</v>
      </c>
      <c r="E51">
        <f t="shared" si="4"/>
        <v>2025</v>
      </c>
      <c r="F51" t="str">
        <f t="shared" si="0"/>
        <v>Jan</v>
      </c>
      <c r="G51" t="str">
        <f t="shared" si="1"/>
        <v>Thu</v>
      </c>
      <c r="H51" t="str">
        <f t="shared" si="5"/>
        <v>Weekday</v>
      </c>
      <c r="I51" s="2">
        <v>0.78125</v>
      </c>
      <c r="J51" s="2">
        <f t="shared" si="6"/>
        <v>0.78125</v>
      </c>
      <c r="K51" t="s">
        <v>152</v>
      </c>
      <c r="L51" t="s">
        <v>38</v>
      </c>
      <c r="M51" t="s">
        <v>26</v>
      </c>
      <c r="N51" t="s">
        <v>46</v>
      </c>
      <c r="O51" t="s">
        <v>28</v>
      </c>
      <c r="P51">
        <v>6</v>
      </c>
      <c r="Q51">
        <v>35</v>
      </c>
      <c r="R51">
        <v>210</v>
      </c>
      <c r="S51">
        <v>0</v>
      </c>
      <c r="T51">
        <v>210</v>
      </c>
      <c r="U51" t="s">
        <v>64</v>
      </c>
      <c r="V51">
        <v>60</v>
      </c>
      <c r="W51" t="s">
        <v>35</v>
      </c>
      <c r="X51">
        <v>5</v>
      </c>
    </row>
    <row r="52" spans="1:24" x14ac:dyDescent="0.3">
      <c r="A52" t="s">
        <v>153</v>
      </c>
      <c r="B52" s="1">
        <v>45667</v>
      </c>
      <c r="C52">
        <f t="shared" si="2"/>
        <v>10</v>
      </c>
      <c r="D52">
        <f t="shared" si="3"/>
        <v>1</v>
      </c>
      <c r="E52">
        <f t="shared" si="4"/>
        <v>2025</v>
      </c>
      <c r="F52" t="str">
        <f t="shared" si="0"/>
        <v>Jan</v>
      </c>
      <c r="G52" t="str">
        <f t="shared" si="1"/>
        <v>Fri</v>
      </c>
      <c r="H52" t="str">
        <f t="shared" si="5"/>
        <v>Weekday</v>
      </c>
      <c r="I52" s="2">
        <v>0.37847222222222221</v>
      </c>
      <c r="J52" s="2">
        <f t="shared" si="6"/>
        <v>0.37847222222222221</v>
      </c>
      <c r="K52" t="s">
        <v>154</v>
      </c>
      <c r="L52" t="s">
        <v>31</v>
      </c>
      <c r="M52" t="s">
        <v>26</v>
      </c>
      <c r="N52" t="s">
        <v>33</v>
      </c>
      <c r="O52" t="s">
        <v>21</v>
      </c>
      <c r="P52">
        <v>6</v>
      </c>
      <c r="Q52">
        <v>39</v>
      </c>
      <c r="R52">
        <v>234</v>
      </c>
      <c r="S52">
        <v>10</v>
      </c>
      <c r="T52">
        <v>224</v>
      </c>
      <c r="U52" t="s">
        <v>64</v>
      </c>
      <c r="V52">
        <v>10</v>
      </c>
      <c r="W52" t="s">
        <v>35</v>
      </c>
      <c r="X52">
        <v>1</v>
      </c>
    </row>
    <row r="53" spans="1:24" x14ac:dyDescent="0.3">
      <c r="A53" t="s">
        <v>155</v>
      </c>
      <c r="B53" s="1">
        <v>45666</v>
      </c>
      <c r="C53">
        <f t="shared" si="2"/>
        <v>9</v>
      </c>
      <c r="D53">
        <f t="shared" si="3"/>
        <v>1</v>
      </c>
      <c r="E53">
        <f t="shared" si="4"/>
        <v>2025</v>
      </c>
      <c r="F53" t="str">
        <f t="shared" si="0"/>
        <v>Jan</v>
      </c>
      <c r="G53" t="str">
        <f t="shared" si="1"/>
        <v>Thu</v>
      </c>
      <c r="H53" t="str">
        <f t="shared" si="5"/>
        <v>Weekday</v>
      </c>
      <c r="I53" s="2">
        <v>0.4375</v>
      </c>
      <c r="J53" s="2">
        <f t="shared" si="6"/>
        <v>0.4375</v>
      </c>
      <c r="K53" t="s">
        <v>156</v>
      </c>
      <c r="L53" t="s">
        <v>31</v>
      </c>
      <c r="M53" t="s">
        <v>32</v>
      </c>
      <c r="N53" t="s">
        <v>33</v>
      </c>
      <c r="O53" t="s">
        <v>21</v>
      </c>
      <c r="P53">
        <v>4</v>
      </c>
      <c r="Q53">
        <v>64</v>
      </c>
      <c r="R53">
        <v>256</v>
      </c>
      <c r="S53">
        <v>5</v>
      </c>
      <c r="T53">
        <v>251</v>
      </c>
      <c r="U53" t="s">
        <v>42</v>
      </c>
      <c r="V53">
        <v>17</v>
      </c>
      <c r="W53" t="s">
        <v>35</v>
      </c>
      <c r="X53">
        <v>4</v>
      </c>
    </row>
    <row r="54" spans="1:24" x14ac:dyDescent="0.3">
      <c r="A54" t="s">
        <v>157</v>
      </c>
      <c r="B54" s="1">
        <v>45668</v>
      </c>
      <c r="C54">
        <f t="shared" si="2"/>
        <v>11</v>
      </c>
      <c r="D54">
        <f t="shared" si="3"/>
        <v>1</v>
      </c>
      <c r="E54">
        <f t="shared" si="4"/>
        <v>2025</v>
      </c>
      <c r="F54" t="str">
        <f t="shared" si="0"/>
        <v>Jan</v>
      </c>
      <c r="G54" t="str">
        <f t="shared" si="1"/>
        <v>Sat</v>
      </c>
      <c r="H54" t="str">
        <f t="shared" si="5"/>
        <v>Weekend</v>
      </c>
      <c r="I54" s="2">
        <v>0.78125</v>
      </c>
      <c r="J54" s="2">
        <f t="shared" si="6"/>
        <v>0.78125</v>
      </c>
      <c r="K54" t="s">
        <v>158</v>
      </c>
      <c r="L54" t="s">
        <v>31</v>
      </c>
      <c r="M54" t="s">
        <v>39</v>
      </c>
      <c r="N54" t="s">
        <v>79</v>
      </c>
      <c r="O54" t="s">
        <v>80</v>
      </c>
      <c r="P54">
        <v>6</v>
      </c>
      <c r="Q54">
        <v>87</v>
      </c>
      <c r="R54">
        <v>522</v>
      </c>
      <c r="S54">
        <v>10</v>
      </c>
      <c r="T54">
        <v>512</v>
      </c>
      <c r="U54" t="s">
        <v>64</v>
      </c>
      <c r="V54">
        <v>11</v>
      </c>
      <c r="W54" t="s">
        <v>35</v>
      </c>
      <c r="X54">
        <v>5</v>
      </c>
    </row>
    <row r="55" spans="1:24" x14ac:dyDescent="0.3">
      <c r="A55" t="s">
        <v>159</v>
      </c>
      <c r="B55" s="1">
        <v>45661</v>
      </c>
      <c r="C55">
        <f t="shared" si="2"/>
        <v>4</v>
      </c>
      <c r="D55">
        <f t="shared" si="3"/>
        <v>1</v>
      </c>
      <c r="E55">
        <f t="shared" si="4"/>
        <v>2025</v>
      </c>
      <c r="F55" t="str">
        <f t="shared" si="0"/>
        <v>Jan</v>
      </c>
      <c r="G55" t="str">
        <f t="shared" si="1"/>
        <v>Sat</v>
      </c>
      <c r="H55" t="str">
        <f t="shared" si="5"/>
        <v>Weekend</v>
      </c>
      <c r="I55" s="2">
        <v>0.4375</v>
      </c>
      <c r="J55" s="2">
        <f t="shared" si="6"/>
        <v>0.4375</v>
      </c>
      <c r="K55" t="s">
        <v>160</v>
      </c>
      <c r="L55" t="s">
        <v>87</v>
      </c>
      <c r="M55" t="s">
        <v>59</v>
      </c>
      <c r="N55" t="s">
        <v>105</v>
      </c>
      <c r="O55" t="s">
        <v>106</v>
      </c>
      <c r="P55">
        <v>2</v>
      </c>
      <c r="Q55">
        <v>49</v>
      </c>
      <c r="R55">
        <v>98</v>
      </c>
      <c r="S55">
        <v>0</v>
      </c>
      <c r="T55">
        <v>98</v>
      </c>
      <c r="U55" t="s">
        <v>42</v>
      </c>
      <c r="V55">
        <v>33</v>
      </c>
      <c r="W55" t="s">
        <v>35</v>
      </c>
      <c r="X55">
        <v>1</v>
      </c>
    </row>
    <row r="56" spans="1:24" x14ac:dyDescent="0.3">
      <c r="A56" t="s">
        <v>161</v>
      </c>
      <c r="B56" s="1">
        <v>45668</v>
      </c>
      <c r="C56">
        <f t="shared" si="2"/>
        <v>11</v>
      </c>
      <c r="D56">
        <f t="shared" si="3"/>
        <v>1</v>
      </c>
      <c r="E56">
        <f t="shared" si="4"/>
        <v>2025</v>
      </c>
      <c r="F56" t="str">
        <f t="shared" si="0"/>
        <v>Jan</v>
      </c>
      <c r="G56" t="str">
        <f t="shared" si="1"/>
        <v>Sat</v>
      </c>
      <c r="H56" t="str">
        <f t="shared" si="5"/>
        <v>Weekend</v>
      </c>
      <c r="I56" s="2">
        <v>0.37847222222222221</v>
      </c>
      <c r="J56" s="2">
        <f t="shared" si="6"/>
        <v>0.37847222222222221</v>
      </c>
      <c r="K56" t="s">
        <v>162</v>
      </c>
      <c r="L56" t="s">
        <v>90</v>
      </c>
      <c r="M56" t="s">
        <v>39</v>
      </c>
      <c r="N56" t="s">
        <v>79</v>
      </c>
      <c r="O56" t="s">
        <v>80</v>
      </c>
      <c r="P56">
        <v>4</v>
      </c>
      <c r="Q56">
        <v>94</v>
      </c>
      <c r="R56">
        <v>376</v>
      </c>
      <c r="S56">
        <v>0</v>
      </c>
      <c r="T56">
        <v>376</v>
      </c>
      <c r="U56" t="s">
        <v>22</v>
      </c>
      <c r="V56">
        <v>16</v>
      </c>
      <c r="W56" t="s">
        <v>23</v>
      </c>
      <c r="X56">
        <v>5</v>
      </c>
    </row>
    <row r="57" spans="1:24" x14ac:dyDescent="0.3">
      <c r="A57" t="s">
        <v>163</v>
      </c>
      <c r="B57" s="1">
        <v>45660</v>
      </c>
      <c r="C57">
        <f t="shared" si="2"/>
        <v>3</v>
      </c>
      <c r="D57">
        <f t="shared" si="3"/>
        <v>1</v>
      </c>
      <c r="E57">
        <f t="shared" si="4"/>
        <v>2025</v>
      </c>
      <c r="F57" t="str">
        <f t="shared" si="0"/>
        <v>Jan</v>
      </c>
      <c r="G57" t="str">
        <f t="shared" si="1"/>
        <v>Fri</v>
      </c>
      <c r="H57" t="str">
        <f t="shared" si="5"/>
        <v>Weekday</v>
      </c>
      <c r="I57" s="2">
        <v>0.78125</v>
      </c>
      <c r="J57" s="2">
        <f t="shared" si="6"/>
        <v>0.78125</v>
      </c>
      <c r="K57" t="s">
        <v>164</v>
      </c>
      <c r="L57" t="s">
        <v>31</v>
      </c>
      <c r="M57" t="s">
        <v>26</v>
      </c>
      <c r="N57" t="s">
        <v>33</v>
      </c>
      <c r="O57" t="s">
        <v>21</v>
      </c>
      <c r="P57">
        <v>6</v>
      </c>
      <c r="Q57">
        <v>10</v>
      </c>
      <c r="R57">
        <v>60</v>
      </c>
      <c r="S57">
        <v>10</v>
      </c>
      <c r="T57">
        <v>50</v>
      </c>
      <c r="U57" t="s">
        <v>64</v>
      </c>
      <c r="V57">
        <v>22</v>
      </c>
      <c r="W57" t="s">
        <v>35</v>
      </c>
      <c r="X57">
        <v>5</v>
      </c>
    </row>
    <row r="58" spans="1:24" x14ac:dyDescent="0.3">
      <c r="A58" t="s">
        <v>165</v>
      </c>
      <c r="B58" s="1">
        <v>45666</v>
      </c>
      <c r="C58">
        <f t="shared" si="2"/>
        <v>9</v>
      </c>
      <c r="D58">
        <f t="shared" si="3"/>
        <v>1</v>
      </c>
      <c r="E58">
        <f t="shared" si="4"/>
        <v>2025</v>
      </c>
      <c r="F58" t="str">
        <f t="shared" si="0"/>
        <v>Jan</v>
      </c>
      <c r="G58" t="str">
        <f t="shared" si="1"/>
        <v>Thu</v>
      </c>
      <c r="H58" t="str">
        <f t="shared" si="5"/>
        <v>Weekday</v>
      </c>
      <c r="I58" s="2">
        <v>0.76041666666666663</v>
      </c>
      <c r="J58" s="2">
        <f t="shared" si="6"/>
        <v>0.76041666666666663</v>
      </c>
      <c r="K58" t="s">
        <v>166</v>
      </c>
      <c r="L58" t="s">
        <v>58</v>
      </c>
      <c r="M58" t="s">
        <v>26</v>
      </c>
      <c r="N58" t="s">
        <v>20</v>
      </c>
      <c r="O58" t="s">
        <v>21</v>
      </c>
      <c r="P58">
        <v>4</v>
      </c>
      <c r="Q58">
        <v>107</v>
      </c>
      <c r="R58">
        <v>428</v>
      </c>
      <c r="S58">
        <v>5</v>
      </c>
      <c r="T58">
        <v>423</v>
      </c>
      <c r="U58" t="s">
        <v>64</v>
      </c>
      <c r="V58">
        <v>42</v>
      </c>
      <c r="W58" t="s">
        <v>23</v>
      </c>
      <c r="X58">
        <v>0</v>
      </c>
    </row>
    <row r="59" spans="1:24" x14ac:dyDescent="0.3">
      <c r="A59" t="s">
        <v>167</v>
      </c>
      <c r="B59" s="1">
        <v>45659</v>
      </c>
      <c r="C59">
        <f t="shared" si="2"/>
        <v>2</v>
      </c>
      <c r="D59">
        <f t="shared" si="3"/>
        <v>1</v>
      </c>
      <c r="E59">
        <f t="shared" si="4"/>
        <v>2025</v>
      </c>
      <c r="F59" t="str">
        <f t="shared" si="0"/>
        <v>Jan</v>
      </c>
      <c r="G59" t="str">
        <f t="shared" si="1"/>
        <v>Thu</v>
      </c>
      <c r="H59" t="str">
        <f t="shared" si="5"/>
        <v>Weekday</v>
      </c>
      <c r="I59" s="2">
        <v>0.4375</v>
      </c>
      <c r="J59" s="2">
        <f t="shared" si="6"/>
        <v>0.4375</v>
      </c>
      <c r="K59" t="s">
        <v>168</v>
      </c>
      <c r="L59" t="s">
        <v>52</v>
      </c>
      <c r="M59" t="s">
        <v>69</v>
      </c>
      <c r="N59" t="s">
        <v>33</v>
      </c>
      <c r="O59" t="s">
        <v>21</v>
      </c>
      <c r="P59">
        <v>3</v>
      </c>
      <c r="Q59">
        <v>95</v>
      </c>
      <c r="R59">
        <v>285</v>
      </c>
      <c r="S59">
        <v>10</v>
      </c>
      <c r="T59">
        <v>275</v>
      </c>
      <c r="U59" t="s">
        <v>64</v>
      </c>
      <c r="V59">
        <v>53</v>
      </c>
      <c r="W59" t="s">
        <v>35</v>
      </c>
      <c r="X59">
        <v>4</v>
      </c>
    </row>
    <row r="60" spans="1:24" x14ac:dyDescent="0.3">
      <c r="A60" t="s">
        <v>169</v>
      </c>
      <c r="B60" s="1">
        <v>45666</v>
      </c>
      <c r="C60">
        <f t="shared" si="2"/>
        <v>9</v>
      </c>
      <c r="D60">
        <f t="shared" si="3"/>
        <v>1</v>
      </c>
      <c r="E60">
        <f t="shared" si="4"/>
        <v>2025</v>
      </c>
      <c r="F60" t="str">
        <f t="shared" si="0"/>
        <v>Jan</v>
      </c>
      <c r="G60" t="str">
        <f t="shared" si="1"/>
        <v>Thu</v>
      </c>
      <c r="H60" t="str">
        <f t="shared" si="5"/>
        <v>Weekday</v>
      </c>
      <c r="I60" s="2">
        <v>0.78125</v>
      </c>
      <c r="J60" s="2">
        <f t="shared" si="6"/>
        <v>0.78125</v>
      </c>
      <c r="K60" t="s">
        <v>170</v>
      </c>
      <c r="L60" t="s">
        <v>52</v>
      </c>
      <c r="M60" t="s">
        <v>39</v>
      </c>
      <c r="N60" t="s">
        <v>27</v>
      </c>
      <c r="O60" t="s">
        <v>28</v>
      </c>
      <c r="P60">
        <v>1</v>
      </c>
      <c r="Q60">
        <v>82</v>
      </c>
      <c r="R60">
        <v>82</v>
      </c>
      <c r="S60">
        <v>0</v>
      </c>
      <c r="T60">
        <v>82</v>
      </c>
      <c r="U60" t="s">
        <v>64</v>
      </c>
      <c r="V60">
        <v>51</v>
      </c>
      <c r="W60" t="s">
        <v>23</v>
      </c>
      <c r="X60">
        <v>0</v>
      </c>
    </row>
    <row r="61" spans="1:24" x14ac:dyDescent="0.3">
      <c r="A61" t="s">
        <v>171</v>
      </c>
      <c r="B61" s="1">
        <v>45662</v>
      </c>
      <c r="C61">
        <f t="shared" si="2"/>
        <v>5</v>
      </c>
      <c r="D61">
        <f t="shared" si="3"/>
        <v>1</v>
      </c>
      <c r="E61">
        <f t="shared" si="4"/>
        <v>2025</v>
      </c>
      <c r="F61" t="str">
        <f t="shared" si="0"/>
        <v>Jan</v>
      </c>
      <c r="G61" t="str">
        <f t="shared" si="1"/>
        <v>Sun</v>
      </c>
      <c r="H61" t="str">
        <f t="shared" si="5"/>
        <v>Weekend</v>
      </c>
      <c r="I61" s="2">
        <v>0.76041666666666663</v>
      </c>
      <c r="J61" s="2">
        <f t="shared" si="6"/>
        <v>0.76041666666666663</v>
      </c>
      <c r="K61" t="s">
        <v>172</v>
      </c>
      <c r="L61" t="s">
        <v>31</v>
      </c>
      <c r="M61" t="s">
        <v>32</v>
      </c>
      <c r="N61" t="s">
        <v>105</v>
      </c>
      <c r="O61" t="s">
        <v>106</v>
      </c>
      <c r="P61">
        <v>3</v>
      </c>
      <c r="Q61">
        <v>111</v>
      </c>
      <c r="R61">
        <v>333</v>
      </c>
      <c r="S61">
        <v>10</v>
      </c>
      <c r="T61">
        <v>323</v>
      </c>
      <c r="U61" t="s">
        <v>42</v>
      </c>
      <c r="V61">
        <v>16</v>
      </c>
      <c r="W61" t="s">
        <v>23</v>
      </c>
      <c r="X61">
        <v>2</v>
      </c>
    </row>
    <row r="62" spans="1:24" x14ac:dyDescent="0.3">
      <c r="A62" t="s">
        <v>173</v>
      </c>
      <c r="B62" s="1">
        <v>45662</v>
      </c>
      <c r="C62">
        <f t="shared" si="2"/>
        <v>5</v>
      </c>
      <c r="D62">
        <f t="shared" si="3"/>
        <v>1</v>
      </c>
      <c r="E62">
        <f t="shared" si="4"/>
        <v>2025</v>
      </c>
      <c r="F62" t="str">
        <f t="shared" si="0"/>
        <v>Jan</v>
      </c>
      <c r="G62" t="str">
        <f t="shared" si="1"/>
        <v>Sun</v>
      </c>
      <c r="H62" t="str">
        <f t="shared" si="5"/>
        <v>Weekend</v>
      </c>
      <c r="I62" s="2">
        <v>0.76041666666666663</v>
      </c>
      <c r="J62" s="2">
        <f t="shared" si="6"/>
        <v>0.76041666666666663</v>
      </c>
      <c r="K62" t="s">
        <v>174</v>
      </c>
      <c r="L62" t="s">
        <v>52</v>
      </c>
      <c r="M62" t="s">
        <v>69</v>
      </c>
      <c r="N62" t="s">
        <v>27</v>
      </c>
      <c r="O62" t="s">
        <v>28</v>
      </c>
      <c r="P62">
        <v>1</v>
      </c>
      <c r="Q62">
        <v>79</v>
      </c>
      <c r="R62">
        <v>79</v>
      </c>
      <c r="S62">
        <v>0</v>
      </c>
      <c r="T62">
        <v>79</v>
      </c>
      <c r="U62" t="s">
        <v>64</v>
      </c>
      <c r="V62">
        <v>38</v>
      </c>
      <c r="W62" t="s">
        <v>35</v>
      </c>
      <c r="X62">
        <v>4</v>
      </c>
    </row>
    <row r="63" spans="1:24" x14ac:dyDescent="0.3">
      <c r="A63" t="s">
        <v>175</v>
      </c>
      <c r="B63" s="1">
        <v>45666</v>
      </c>
      <c r="C63">
        <f t="shared" si="2"/>
        <v>9</v>
      </c>
      <c r="D63">
        <f t="shared" si="3"/>
        <v>1</v>
      </c>
      <c r="E63">
        <f t="shared" si="4"/>
        <v>2025</v>
      </c>
      <c r="F63" t="str">
        <f t="shared" si="0"/>
        <v>Jan</v>
      </c>
      <c r="G63" t="str">
        <f t="shared" si="1"/>
        <v>Thu</v>
      </c>
      <c r="H63" t="str">
        <f t="shared" si="5"/>
        <v>Weekday</v>
      </c>
      <c r="I63" s="2">
        <v>0.4375</v>
      </c>
      <c r="J63" s="2">
        <f t="shared" si="6"/>
        <v>0.4375</v>
      </c>
      <c r="K63" t="s">
        <v>176</v>
      </c>
      <c r="L63" t="s">
        <v>38</v>
      </c>
      <c r="M63" t="s">
        <v>32</v>
      </c>
      <c r="N63" t="s">
        <v>105</v>
      </c>
      <c r="O63" t="s">
        <v>106</v>
      </c>
      <c r="P63">
        <v>5</v>
      </c>
      <c r="Q63">
        <v>98</v>
      </c>
      <c r="R63">
        <v>490</v>
      </c>
      <c r="S63">
        <v>0</v>
      </c>
      <c r="T63">
        <v>490</v>
      </c>
      <c r="U63" t="s">
        <v>22</v>
      </c>
      <c r="V63">
        <v>33</v>
      </c>
      <c r="W63" t="s">
        <v>35</v>
      </c>
      <c r="X63">
        <v>5</v>
      </c>
    </row>
    <row r="64" spans="1:24" x14ac:dyDescent="0.3">
      <c r="A64" t="s">
        <v>177</v>
      </c>
      <c r="B64" s="1">
        <v>45662</v>
      </c>
      <c r="C64">
        <f t="shared" si="2"/>
        <v>5</v>
      </c>
      <c r="D64">
        <f t="shared" si="3"/>
        <v>1</v>
      </c>
      <c r="E64">
        <f t="shared" si="4"/>
        <v>2025</v>
      </c>
      <c r="F64" t="str">
        <f t="shared" si="0"/>
        <v>Jan</v>
      </c>
      <c r="G64" t="str">
        <f t="shared" si="1"/>
        <v>Sun</v>
      </c>
      <c r="H64" t="str">
        <f t="shared" si="5"/>
        <v>Weekend</v>
      </c>
      <c r="I64" s="2">
        <v>0.37847222222222221</v>
      </c>
      <c r="J64" s="2">
        <f t="shared" si="6"/>
        <v>0.37847222222222221</v>
      </c>
      <c r="K64" t="s">
        <v>178</v>
      </c>
      <c r="L64" t="s">
        <v>31</v>
      </c>
      <c r="M64" t="s">
        <v>32</v>
      </c>
      <c r="N64" t="s">
        <v>27</v>
      </c>
      <c r="O64" t="s">
        <v>28</v>
      </c>
      <c r="P64">
        <v>1</v>
      </c>
      <c r="Q64">
        <v>88</v>
      </c>
      <c r="R64">
        <v>88</v>
      </c>
      <c r="S64">
        <v>0</v>
      </c>
      <c r="T64">
        <v>88</v>
      </c>
      <c r="U64" t="s">
        <v>34</v>
      </c>
      <c r="V64">
        <v>11</v>
      </c>
      <c r="W64" t="s">
        <v>23</v>
      </c>
      <c r="X64">
        <v>0</v>
      </c>
    </row>
    <row r="65" spans="1:24" x14ac:dyDescent="0.3">
      <c r="A65" t="s">
        <v>179</v>
      </c>
      <c r="B65" s="1">
        <v>45659</v>
      </c>
      <c r="C65">
        <f t="shared" si="2"/>
        <v>2</v>
      </c>
      <c r="D65">
        <f t="shared" si="3"/>
        <v>1</v>
      </c>
      <c r="E65">
        <f t="shared" si="4"/>
        <v>2025</v>
      </c>
      <c r="F65" t="str">
        <f t="shared" si="0"/>
        <v>Jan</v>
      </c>
      <c r="G65" t="str">
        <f t="shared" si="1"/>
        <v>Thu</v>
      </c>
      <c r="H65" t="str">
        <f t="shared" si="5"/>
        <v>Weekday</v>
      </c>
      <c r="I65" s="2">
        <v>0.78125</v>
      </c>
      <c r="J65" s="2">
        <f t="shared" si="6"/>
        <v>0.78125</v>
      </c>
      <c r="K65" t="s">
        <v>180</v>
      </c>
      <c r="L65" t="s">
        <v>31</v>
      </c>
      <c r="M65" t="s">
        <v>78</v>
      </c>
      <c r="N65" t="s">
        <v>46</v>
      </c>
      <c r="O65" t="s">
        <v>28</v>
      </c>
      <c r="P65">
        <v>4</v>
      </c>
      <c r="Q65">
        <v>47</v>
      </c>
      <c r="R65">
        <v>188</v>
      </c>
      <c r="S65">
        <v>5</v>
      </c>
      <c r="T65">
        <v>183</v>
      </c>
      <c r="U65" t="s">
        <v>34</v>
      </c>
      <c r="V65">
        <v>55</v>
      </c>
      <c r="W65" t="s">
        <v>35</v>
      </c>
      <c r="X65">
        <v>2</v>
      </c>
    </row>
    <row r="66" spans="1:24" x14ac:dyDescent="0.3">
      <c r="A66" t="s">
        <v>181</v>
      </c>
      <c r="B66" s="1">
        <v>45660</v>
      </c>
      <c r="C66">
        <f t="shared" si="2"/>
        <v>3</v>
      </c>
      <c r="D66">
        <f t="shared" si="3"/>
        <v>1</v>
      </c>
      <c r="E66">
        <f t="shared" si="4"/>
        <v>2025</v>
      </c>
      <c r="F66" t="str">
        <f t="shared" ref="F66:F129" si="7">TEXT(B66,"mmm")</f>
        <v>Jan</v>
      </c>
      <c r="G66" t="str">
        <f t="shared" ref="G66:G129" si="8">TEXT(B66,"ddd")</f>
        <v>Fri</v>
      </c>
      <c r="H66" t="str">
        <f t="shared" si="5"/>
        <v>Weekday</v>
      </c>
      <c r="I66" s="2">
        <v>0.78125</v>
      </c>
      <c r="J66" s="2">
        <f t="shared" si="6"/>
        <v>0.78125</v>
      </c>
      <c r="K66" t="s">
        <v>182</v>
      </c>
      <c r="L66" t="s">
        <v>31</v>
      </c>
      <c r="M66" t="s">
        <v>32</v>
      </c>
      <c r="N66" t="s">
        <v>105</v>
      </c>
      <c r="O66" t="s">
        <v>106</v>
      </c>
      <c r="P66">
        <v>4</v>
      </c>
      <c r="Q66">
        <v>19</v>
      </c>
      <c r="R66">
        <v>76</v>
      </c>
      <c r="S66">
        <v>0</v>
      </c>
      <c r="T66">
        <v>76</v>
      </c>
      <c r="U66" t="s">
        <v>22</v>
      </c>
      <c r="V66">
        <v>55</v>
      </c>
      <c r="W66" t="s">
        <v>35</v>
      </c>
      <c r="X66">
        <v>2</v>
      </c>
    </row>
    <row r="67" spans="1:24" x14ac:dyDescent="0.3">
      <c r="A67" t="s">
        <v>183</v>
      </c>
      <c r="B67" s="1">
        <v>45663</v>
      </c>
      <c r="C67">
        <f t="shared" ref="C67:C130" si="9">DAY(B67)</f>
        <v>6</v>
      </c>
      <c r="D67">
        <f t="shared" ref="D67:D130" si="10">MONTH(B67)</f>
        <v>1</v>
      </c>
      <c r="E67">
        <f t="shared" ref="E67:E130" si="11">YEAR(B67)</f>
        <v>2025</v>
      </c>
      <c r="F67" t="str">
        <f t="shared" si="7"/>
        <v>Jan</v>
      </c>
      <c r="G67" t="str">
        <f t="shared" si="8"/>
        <v>Mon</v>
      </c>
      <c r="H67" t="str">
        <f t="shared" ref="H67:H130" si="12">IF(OR(G67="sat",G67="sun"),"Weekend","Weekday")</f>
        <v>Weekday</v>
      </c>
      <c r="I67" s="2">
        <v>0.37847222222222221</v>
      </c>
      <c r="J67" s="2">
        <f t="shared" ref="J67:J130" si="13">IF(ISNUMBER(I67),I67,IFERROR(TIMEVALUE(I67),TIMEVALUE(SUBSTITUTE(I67,".",":"))))</f>
        <v>0.37847222222222221</v>
      </c>
      <c r="K67" t="s">
        <v>184</v>
      </c>
      <c r="L67" t="s">
        <v>58</v>
      </c>
      <c r="M67" t="s">
        <v>39</v>
      </c>
      <c r="N67" t="s">
        <v>93</v>
      </c>
      <c r="O67" t="s">
        <v>94</v>
      </c>
      <c r="P67">
        <v>1</v>
      </c>
      <c r="Q67">
        <v>87</v>
      </c>
      <c r="R67">
        <v>87</v>
      </c>
      <c r="S67">
        <v>10</v>
      </c>
      <c r="T67">
        <v>77</v>
      </c>
      <c r="U67" t="s">
        <v>64</v>
      </c>
      <c r="V67">
        <v>39</v>
      </c>
      <c r="W67" t="s">
        <v>23</v>
      </c>
      <c r="X67">
        <v>3</v>
      </c>
    </row>
    <row r="68" spans="1:24" x14ac:dyDescent="0.3">
      <c r="A68" t="s">
        <v>185</v>
      </c>
      <c r="B68" s="1">
        <v>45666</v>
      </c>
      <c r="C68">
        <f t="shared" si="9"/>
        <v>9</v>
      </c>
      <c r="D68">
        <f t="shared" si="10"/>
        <v>1</v>
      </c>
      <c r="E68">
        <f t="shared" si="11"/>
        <v>2025</v>
      </c>
      <c r="F68" t="str">
        <f t="shared" si="7"/>
        <v>Jan</v>
      </c>
      <c r="G68" t="str">
        <f t="shared" si="8"/>
        <v>Thu</v>
      </c>
      <c r="H68" t="str">
        <f t="shared" si="12"/>
        <v>Weekday</v>
      </c>
      <c r="I68" s="2">
        <v>0.76041666666666663</v>
      </c>
      <c r="J68" s="2">
        <f t="shared" si="13"/>
        <v>0.76041666666666663</v>
      </c>
      <c r="K68" t="s">
        <v>186</v>
      </c>
      <c r="L68" t="s">
        <v>49</v>
      </c>
      <c r="M68" t="s">
        <v>59</v>
      </c>
      <c r="N68" t="s">
        <v>40</v>
      </c>
      <c r="O68" t="s">
        <v>41</v>
      </c>
      <c r="P68">
        <v>5</v>
      </c>
      <c r="Q68">
        <v>10</v>
      </c>
      <c r="R68">
        <v>50</v>
      </c>
      <c r="S68">
        <v>10</v>
      </c>
      <c r="T68">
        <v>40</v>
      </c>
      <c r="U68" t="s">
        <v>34</v>
      </c>
      <c r="V68">
        <v>32</v>
      </c>
      <c r="W68" t="s">
        <v>35</v>
      </c>
      <c r="X68">
        <v>2</v>
      </c>
    </row>
    <row r="69" spans="1:24" x14ac:dyDescent="0.3">
      <c r="A69" t="s">
        <v>187</v>
      </c>
      <c r="B69" s="1">
        <v>45659</v>
      </c>
      <c r="C69">
        <f t="shared" si="9"/>
        <v>2</v>
      </c>
      <c r="D69">
        <f t="shared" si="10"/>
        <v>1</v>
      </c>
      <c r="E69">
        <f t="shared" si="11"/>
        <v>2025</v>
      </c>
      <c r="F69" t="str">
        <f t="shared" si="7"/>
        <v>Jan</v>
      </c>
      <c r="G69" t="str">
        <f t="shared" si="8"/>
        <v>Thu</v>
      </c>
      <c r="H69" t="str">
        <f t="shared" si="12"/>
        <v>Weekday</v>
      </c>
      <c r="I69" s="2">
        <v>0.37847222222222221</v>
      </c>
      <c r="J69" s="2">
        <f t="shared" si="13"/>
        <v>0.37847222222222221</v>
      </c>
      <c r="K69" t="s">
        <v>188</v>
      </c>
      <c r="L69" t="s">
        <v>31</v>
      </c>
      <c r="M69" t="s">
        <v>78</v>
      </c>
      <c r="N69" t="s">
        <v>33</v>
      </c>
      <c r="O69" t="s">
        <v>21</v>
      </c>
      <c r="P69">
        <v>3</v>
      </c>
      <c r="Q69">
        <v>109</v>
      </c>
      <c r="R69">
        <v>327</v>
      </c>
      <c r="S69">
        <v>5</v>
      </c>
      <c r="T69">
        <v>322</v>
      </c>
      <c r="U69" t="s">
        <v>42</v>
      </c>
      <c r="V69">
        <v>30</v>
      </c>
      <c r="W69" t="s">
        <v>35</v>
      </c>
      <c r="X69">
        <v>2</v>
      </c>
    </row>
    <row r="70" spans="1:24" x14ac:dyDescent="0.3">
      <c r="A70" t="s">
        <v>189</v>
      </c>
      <c r="B70" s="1">
        <v>45661</v>
      </c>
      <c r="C70">
        <f t="shared" si="9"/>
        <v>4</v>
      </c>
      <c r="D70">
        <f t="shared" si="10"/>
        <v>1</v>
      </c>
      <c r="E70">
        <f t="shared" si="11"/>
        <v>2025</v>
      </c>
      <c r="F70" t="str">
        <f t="shared" si="7"/>
        <v>Jan</v>
      </c>
      <c r="G70" t="str">
        <f t="shared" si="8"/>
        <v>Sat</v>
      </c>
      <c r="H70" t="str">
        <f t="shared" si="12"/>
        <v>Weekend</v>
      </c>
      <c r="I70" s="2">
        <v>0.78125</v>
      </c>
      <c r="J70" s="2">
        <f t="shared" si="13"/>
        <v>0.78125</v>
      </c>
      <c r="K70" t="s">
        <v>190</v>
      </c>
      <c r="L70" t="s">
        <v>52</v>
      </c>
      <c r="M70" t="s">
        <v>59</v>
      </c>
      <c r="N70" t="s">
        <v>27</v>
      </c>
      <c r="O70" t="s">
        <v>28</v>
      </c>
      <c r="P70">
        <v>6</v>
      </c>
      <c r="Q70">
        <v>62</v>
      </c>
      <c r="R70">
        <v>372</v>
      </c>
      <c r="S70">
        <v>0</v>
      </c>
      <c r="T70">
        <v>372</v>
      </c>
      <c r="U70" t="s">
        <v>64</v>
      </c>
      <c r="V70">
        <v>20</v>
      </c>
      <c r="W70" t="s">
        <v>35</v>
      </c>
      <c r="X70">
        <v>5</v>
      </c>
    </row>
    <row r="71" spans="1:24" x14ac:dyDescent="0.3">
      <c r="A71" t="s">
        <v>191</v>
      </c>
      <c r="B71" s="1">
        <v>45659</v>
      </c>
      <c r="C71">
        <f t="shared" si="9"/>
        <v>2</v>
      </c>
      <c r="D71">
        <f t="shared" si="10"/>
        <v>1</v>
      </c>
      <c r="E71">
        <f t="shared" si="11"/>
        <v>2025</v>
      </c>
      <c r="F71" t="str">
        <f t="shared" si="7"/>
        <v>Jan</v>
      </c>
      <c r="G71" t="str">
        <f t="shared" si="8"/>
        <v>Thu</v>
      </c>
      <c r="H71" t="str">
        <f t="shared" si="12"/>
        <v>Weekday</v>
      </c>
      <c r="I71" s="2">
        <v>0.78125</v>
      </c>
      <c r="J71" s="2">
        <f t="shared" si="13"/>
        <v>0.78125</v>
      </c>
      <c r="K71" t="s">
        <v>192</v>
      </c>
      <c r="L71" t="s">
        <v>31</v>
      </c>
      <c r="M71" t="s">
        <v>45</v>
      </c>
      <c r="N71" t="s">
        <v>40</v>
      </c>
      <c r="O71" t="s">
        <v>41</v>
      </c>
      <c r="P71">
        <v>5</v>
      </c>
      <c r="Q71">
        <v>114</v>
      </c>
      <c r="R71">
        <v>570</v>
      </c>
      <c r="S71">
        <v>10</v>
      </c>
      <c r="T71">
        <v>560</v>
      </c>
      <c r="U71" t="s">
        <v>34</v>
      </c>
      <c r="V71">
        <v>27</v>
      </c>
      <c r="W71" t="s">
        <v>23</v>
      </c>
      <c r="X71">
        <v>1</v>
      </c>
    </row>
    <row r="72" spans="1:24" x14ac:dyDescent="0.3">
      <c r="A72" t="s">
        <v>193</v>
      </c>
      <c r="B72" s="1">
        <v>45658</v>
      </c>
      <c r="C72">
        <f t="shared" si="9"/>
        <v>1</v>
      </c>
      <c r="D72">
        <f t="shared" si="10"/>
        <v>1</v>
      </c>
      <c r="E72">
        <f t="shared" si="11"/>
        <v>2025</v>
      </c>
      <c r="F72" t="str">
        <f t="shared" si="7"/>
        <v>Jan</v>
      </c>
      <c r="G72" t="str">
        <f t="shared" si="8"/>
        <v>Wed</v>
      </c>
      <c r="H72" t="str">
        <f t="shared" si="12"/>
        <v>Weekday</v>
      </c>
      <c r="I72" s="2">
        <v>0.4375</v>
      </c>
      <c r="J72" s="2">
        <f t="shared" si="13"/>
        <v>0.4375</v>
      </c>
      <c r="K72" t="s">
        <v>194</v>
      </c>
      <c r="L72" t="s">
        <v>87</v>
      </c>
      <c r="M72" t="s">
        <v>78</v>
      </c>
      <c r="N72" t="s">
        <v>27</v>
      </c>
      <c r="O72" t="s">
        <v>28</v>
      </c>
      <c r="P72">
        <v>3</v>
      </c>
      <c r="Q72">
        <v>35</v>
      </c>
      <c r="R72">
        <v>105</v>
      </c>
      <c r="S72">
        <v>5</v>
      </c>
      <c r="T72">
        <v>100</v>
      </c>
      <c r="U72" t="s">
        <v>64</v>
      </c>
      <c r="V72">
        <v>35</v>
      </c>
      <c r="W72" t="s">
        <v>23</v>
      </c>
      <c r="X72">
        <v>4</v>
      </c>
    </row>
    <row r="73" spans="1:24" x14ac:dyDescent="0.3">
      <c r="A73" t="s">
        <v>195</v>
      </c>
      <c r="B73" s="1">
        <v>45660</v>
      </c>
      <c r="C73">
        <f t="shared" si="9"/>
        <v>3</v>
      </c>
      <c r="D73">
        <f t="shared" si="10"/>
        <v>1</v>
      </c>
      <c r="E73">
        <f t="shared" si="11"/>
        <v>2025</v>
      </c>
      <c r="F73" t="str">
        <f t="shared" si="7"/>
        <v>Jan</v>
      </c>
      <c r="G73" t="str">
        <f t="shared" si="8"/>
        <v>Fri</v>
      </c>
      <c r="H73" t="str">
        <f t="shared" si="12"/>
        <v>Weekday</v>
      </c>
      <c r="I73" s="2">
        <v>0.76041666666666663</v>
      </c>
      <c r="J73" s="2">
        <f t="shared" si="13"/>
        <v>0.76041666666666663</v>
      </c>
      <c r="K73" t="s">
        <v>196</v>
      </c>
      <c r="L73" t="s">
        <v>31</v>
      </c>
      <c r="M73" t="s">
        <v>39</v>
      </c>
      <c r="N73" t="s">
        <v>33</v>
      </c>
      <c r="O73" t="s">
        <v>21</v>
      </c>
      <c r="P73">
        <v>3</v>
      </c>
      <c r="Q73">
        <v>77</v>
      </c>
      <c r="R73">
        <v>231</v>
      </c>
      <c r="S73">
        <v>0</v>
      </c>
      <c r="T73">
        <v>231</v>
      </c>
      <c r="U73" t="s">
        <v>34</v>
      </c>
      <c r="V73">
        <v>22</v>
      </c>
      <c r="W73" t="s">
        <v>35</v>
      </c>
      <c r="X73">
        <v>1</v>
      </c>
    </row>
    <row r="74" spans="1:24" x14ac:dyDescent="0.3">
      <c r="A74" t="s">
        <v>197</v>
      </c>
      <c r="B74" s="1">
        <v>45666</v>
      </c>
      <c r="C74">
        <f t="shared" si="9"/>
        <v>9</v>
      </c>
      <c r="D74">
        <f t="shared" si="10"/>
        <v>1</v>
      </c>
      <c r="E74">
        <f t="shared" si="11"/>
        <v>2025</v>
      </c>
      <c r="F74" t="str">
        <f t="shared" si="7"/>
        <v>Jan</v>
      </c>
      <c r="G74" t="str">
        <f t="shared" si="8"/>
        <v>Thu</v>
      </c>
      <c r="H74" t="str">
        <f t="shared" si="12"/>
        <v>Weekday</v>
      </c>
      <c r="I74" s="2">
        <v>0.4375</v>
      </c>
      <c r="J74" s="2">
        <f t="shared" si="13"/>
        <v>0.4375</v>
      </c>
      <c r="K74" t="s">
        <v>198</v>
      </c>
      <c r="L74" t="s">
        <v>31</v>
      </c>
      <c r="M74" t="s">
        <v>59</v>
      </c>
      <c r="N74" t="s">
        <v>40</v>
      </c>
      <c r="O74" t="s">
        <v>41</v>
      </c>
      <c r="P74">
        <v>4</v>
      </c>
      <c r="Q74">
        <v>24</v>
      </c>
      <c r="R74">
        <v>96</v>
      </c>
      <c r="S74">
        <v>5</v>
      </c>
      <c r="T74">
        <v>91</v>
      </c>
      <c r="U74" t="s">
        <v>34</v>
      </c>
      <c r="V74">
        <v>43</v>
      </c>
      <c r="W74" t="s">
        <v>35</v>
      </c>
      <c r="X74">
        <v>4</v>
      </c>
    </row>
    <row r="75" spans="1:24" x14ac:dyDescent="0.3">
      <c r="A75" t="s">
        <v>199</v>
      </c>
      <c r="B75" s="1">
        <v>45665</v>
      </c>
      <c r="C75">
        <f t="shared" si="9"/>
        <v>8</v>
      </c>
      <c r="D75">
        <f t="shared" si="10"/>
        <v>1</v>
      </c>
      <c r="E75">
        <f t="shared" si="11"/>
        <v>2025</v>
      </c>
      <c r="F75" t="str">
        <f t="shared" si="7"/>
        <v>Jan</v>
      </c>
      <c r="G75" t="str">
        <f t="shared" si="8"/>
        <v>Wed</v>
      </c>
      <c r="H75" t="str">
        <f t="shared" si="12"/>
        <v>Weekday</v>
      </c>
      <c r="I75" s="2">
        <v>0.78125</v>
      </c>
      <c r="J75" s="2">
        <f t="shared" si="13"/>
        <v>0.78125</v>
      </c>
      <c r="K75" t="s">
        <v>200</v>
      </c>
      <c r="L75" t="s">
        <v>90</v>
      </c>
      <c r="M75" t="s">
        <v>32</v>
      </c>
      <c r="N75" t="s">
        <v>46</v>
      </c>
      <c r="O75" t="s">
        <v>28</v>
      </c>
      <c r="P75">
        <v>2</v>
      </c>
      <c r="Q75">
        <v>35</v>
      </c>
      <c r="R75">
        <v>70</v>
      </c>
      <c r="S75">
        <v>5</v>
      </c>
      <c r="T75">
        <v>65</v>
      </c>
      <c r="U75" t="s">
        <v>34</v>
      </c>
      <c r="V75">
        <v>38</v>
      </c>
      <c r="W75" t="s">
        <v>35</v>
      </c>
      <c r="X75">
        <v>1</v>
      </c>
    </row>
    <row r="76" spans="1:24" x14ac:dyDescent="0.3">
      <c r="A76" t="s">
        <v>201</v>
      </c>
      <c r="B76" s="1">
        <v>45668</v>
      </c>
      <c r="C76">
        <f t="shared" si="9"/>
        <v>11</v>
      </c>
      <c r="D76">
        <f t="shared" si="10"/>
        <v>1</v>
      </c>
      <c r="E76">
        <f t="shared" si="11"/>
        <v>2025</v>
      </c>
      <c r="F76" t="str">
        <f t="shared" si="7"/>
        <v>Jan</v>
      </c>
      <c r="G76" t="str">
        <f t="shared" si="8"/>
        <v>Sat</v>
      </c>
      <c r="H76" t="str">
        <f t="shared" si="12"/>
        <v>Weekend</v>
      </c>
      <c r="I76" s="2">
        <v>0.78125</v>
      </c>
      <c r="J76" s="2">
        <f t="shared" si="13"/>
        <v>0.78125</v>
      </c>
      <c r="K76" t="s">
        <v>202</v>
      </c>
      <c r="L76" t="s">
        <v>90</v>
      </c>
      <c r="M76" t="s">
        <v>69</v>
      </c>
      <c r="N76" t="s">
        <v>46</v>
      </c>
      <c r="O76" t="s">
        <v>28</v>
      </c>
      <c r="P76">
        <v>4</v>
      </c>
      <c r="Q76">
        <v>99</v>
      </c>
      <c r="R76">
        <v>396</v>
      </c>
      <c r="S76">
        <v>0</v>
      </c>
      <c r="T76">
        <v>396</v>
      </c>
      <c r="U76" t="s">
        <v>22</v>
      </c>
      <c r="V76">
        <v>12</v>
      </c>
      <c r="W76" t="s">
        <v>35</v>
      </c>
      <c r="X76">
        <v>4</v>
      </c>
    </row>
    <row r="77" spans="1:24" x14ac:dyDescent="0.3">
      <c r="A77" t="s">
        <v>203</v>
      </c>
      <c r="B77" s="1">
        <v>45663</v>
      </c>
      <c r="C77">
        <f t="shared" si="9"/>
        <v>6</v>
      </c>
      <c r="D77">
        <f t="shared" si="10"/>
        <v>1</v>
      </c>
      <c r="E77">
        <f t="shared" si="11"/>
        <v>2025</v>
      </c>
      <c r="F77" t="str">
        <f t="shared" si="7"/>
        <v>Jan</v>
      </c>
      <c r="G77" t="str">
        <f t="shared" si="8"/>
        <v>Mon</v>
      </c>
      <c r="H77" t="str">
        <f t="shared" si="12"/>
        <v>Weekday</v>
      </c>
      <c r="I77" s="2">
        <v>0.37847222222222221</v>
      </c>
      <c r="J77" s="2">
        <f t="shared" si="13"/>
        <v>0.37847222222222221</v>
      </c>
      <c r="K77" t="s">
        <v>204</v>
      </c>
      <c r="L77" t="s">
        <v>31</v>
      </c>
      <c r="M77" t="s">
        <v>69</v>
      </c>
      <c r="N77" t="s">
        <v>27</v>
      </c>
      <c r="O77" t="s">
        <v>28</v>
      </c>
      <c r="P77">
        <v>1</v>
      </c>
      <c r="Q77">
        <v>64</v>
      </c>
      <c r="R77">
        <v>64</v>
      </c>
      <c r="S77">
        <v>5</v>
      </c>
      <c r="T77">
        <v>59</v>
      </c>
      <c r="U77" t="s">
        <v>34</v>
      </c>
      <c r="V77">
        <v>29</v>
      </c>
      <c r="W77" t="s">
        <v>23</v>
      </c>
      <c r="X77">
        <v>0</v>
      </c>
    </row>
    <row r="78" spans="1:24" x14ac:dyDescent="0.3">
      <c r="A78" t="s">
        <v>205</v>
      </c>
      <c r="B78" s="1">
        <v>45668</v>
      </c>
      <c r="C78">
        <f t="shared" si="9"/>
        <v>11</v>
      </c>
      <c r="D78">
        <f t="shared" si="10"/>
        <v>1</v>
      </c>
      <c r="E78">
        <f t="shared" si="11"/>
        <v>2025</v>
      </c>
      <c r="F78" t="str">
        <f t="shared" si="7"/>
        <v>Jan</v>
      </c>
      <c r="G78" t="str">
        <f t="shared" si="8"/>
        <v>Sat</v>
      </c>
      <c r="H78" t="str">
        <f t="shared" si="12"/>
        <v>Weekend</v>
      </c>
      <c r="I78" s="2">
        <v>0.37847222222222221</v>
      </c>
      <c r="J78" s="2">
        <f t="shared" si="13"/>
        <v>0.37847222222222221</v>
      </c>
      <c r="K78" t="s">
        <v>206</v>
      </c>
      <c r="L78" t="s">
        <v>90</v>
      </c>
      <c r="M78" t="s">
        <v>19</v>
      </c>
      <c r="N78" t="s">
        <v>93</v>
      </c>
      <c r="O78" t="s">
        <v>94</v>
      </c>
      <c r="P78">
        <v>4</v>
      </c>
      <c r="Q78">
        <v>66</v>
      </c>
      <c r="R78">
        <v>264</v>
      </c>
      <c r="S78">
        <v>10</v>
      </c>
      <c r="T78">
        <v>254</v>
      </c>
      <c r="U78" t="s">
        <v>42</v>
      </c>
      <c r="V78">
        <v>31</v>
      </c>
      <c r="W78" t="s">
        <v>23</v>
      </c>
      <c r="X78">
        <v>3</v>
      </c>
    </row>
    <row r="79" spans="1:24" x14ac:dyDescent="0.3">
      <c r="A79" t="s">
        <v>207</v>
      </c>
      <c r="B79" s="1">
        <v>45661</v>
      </c>
      <c r="C79">
        <f t="shared" si="9"/>
        <v>4</v>
      </c>
      <c r="D79">
        <f t="shared" si="10"/>
        <v>1</v>
      </c>
      <c r="E79">
        <f t="shared" si="11"/>
        <v>2025</v>
      </c>
      <c r="F79" t="str">
        <f t="shared" si="7"/>
        <v>Jan</v>
      </c>
      <c r="G79" t="str">
        <f t="shared" si="8"/>
        <v>Sat</v>
      </c>
      <c r="H79" t="str">
        <f t="shared" si="12"/>
        <v>Weekend</v>
      </c>
      <c r="I79" s="2">
        <v>0.37847222222222221</v>
      </c>
      <c r="J79" s="2">
        <f t="shared" si="13"/>
        <v>0.37847222222222221</v>
      </c>
      <c r="K79" t="s">
        <v>208</v>
      </c>
      <c r="L79" t="s">
        <v>52</v>
      </c>
      <c r="M79" t="s">
        <v>32</v>
      </c>
      <c r="N79" t="s">
        <v>105</v>
      </c>
      <c r="O79" t="s">
        <v>106</v>
      </c>
      <c r="P79">
        <v>1</v>
      </c>
      <c r="Q79">
        <v>120</v>
      </c>
      <c r="R79">
        <v>120</v>
      </c>
      <c r="S79">
        <v>0</v>
      </c>
      <c r="T79">
        <v>120</v>
      </c>
      <c r="U79" t="s">
        <v>64</v>
      </c>
      <c r="V79">
        <v>12</v>
      </c>
      <c r="W79" t="s">
        <v>23</v>
      </c>
      <c r="X79">
        <v>3</v>
      </c>
    </row>
    <row r="80" spans="1:24" x14ac:dyDescent="0.3">
      <c r="A80" t="s">
        <v>209</v>
      </c>
      <c r="B80" s="1">
        <v>45663</v>
      </c>
      <c r="C80">
        <f t="shared" si="9"/>
        <v>6</v>
      </c>
      <c r="D80">
        <f t="shared" si="10"/>
        <v>1</v>
      </c>
      <c r="E80">
        <f t="shared" si="11"/>
        <v>2025</v>
      </c>
      <c r="F80" t="str">
        <f t="shared" si="7"/>
        <v>Jan</v>
      </c>
      <c r="G80" t="str">
        <f t="shared" si="8"/>
        <v>Mon</v>
      </c>
      <c r="H80" t="str">
        <f t="shared" si="12"/>
        <v>Weekday</v>
      </c>
      <c r="I80" s="2">
        <v>0.78125</v>
      </c>
      <c r="J80" s="2">
        <f t="shared" si="13"/>
        <v>0.78125</v>
      </c>
      <c r="K80" t="s">
        <v>210</v>
      </c>
      <c r="L80" t="s">
        <v>90</v>
      </c>
      <c r="M80" t="s">
        <v>45</v>
      </c>
      <c r="N80" t="s">
        <v>33</v>
      </c>
      <c r="O80" t="s">
        <v>21</v>
      </c>
      <c r="P80">
        <v>2</v>
      </c>
      <c r="Q80">
        <v>117</v>
      </c>
      <c r="R80">
        <v>234</v>
      </c>
      <c r="S80">
        <v>0</v>
      </c>
      <c r="T80">
        <v>234</v>
      </c>
      <c r="U80" t="s">
        <v>64</v>
      </c>
      <c r="V80">
        <v>51</v>
      </c>
      <c r="W80" t="s">
        <v>23</v>
      </c>
      <c r="X80">
        <v>0</v>
      </c>
    </row>
    <row r="81" spans="1:24" x14ac:dyDescent="0.3">
      <c r="A81" t="s">
        <v>211</v>
      </c>
      <c r="B81" s="1">
        <v>45662</v>
      </c>
      <c r="C81">
        <f t="shared" si="9"/>
        <v>5</v>
      </c>
      <c r="D81">
        <f t="shared" si="10"/>
        <v>1</v>
      </c>
      <c r="E81">
        <f t="shared" si="11"/>
        <v>2025</v>
      </c>
      <c r="F81" t="str">
        <f t="shared" si="7"/>
        <v>Jan</v>
      </c>
      <c r="G81" t="str">
        <f t="shared" si="8"/>
        <v>Sun</v>
      </c>
      <c r="H81" t="str">
        <f t="shared" si="12"/>
        <v>Weekend</v>
      </c>
      <c r="I81" s="2">
        <v>0.78125</v>
      </c>
      <c r="J81" s="2">
        <f t="shared" si="13"/>
        <v>0.78125</v>
      </c>
      <c r="K81" t="s">
        <v>212</v>
      </c>
      <c r="L81" t="s">
        <v>31</v>
      </c>
      <c r="M81" t="s">
        <v>26</v>
      </c>
      <c r="N81" t="s">
        <v>55</v>
      </c>
      <c r="O81" t="s">
        <v>21</v>
      </c>
      <c r="P81">
        <v>2</v>
      </c>
      <c r="Q81">
        <v>10</v>
      </c>
      <c r="R81">
        <v>20</v>
      </c>
      <c r="S81">
        <v>5</v>
      </c>
      <c r="T81">
        <v>15</v>
      </c>
      <c r="U81" t="s">
        <v>64</v>
      </c>
      <c r="V81">
        <v>51</v>
      </c>
      <c r="W81" t="s">
        <v>35</v>
      </c>
      <c r="X81">
        <v>0</v>
      </c>
    </row>
    <row r="82" spans="1:24" x14ac:dyDescent="0.3">
      <c r="A82" t="s">
        <v>213</v>
      </c>
      <c r="B82" s="1">
        <v>45661</v>
      </c>
      <c r="C82">
        <f t="shared" si="9"/>
        <v>4</v>
      </c>
      <c r="D82">
        <f t="shared" si="10"/>
        <v>1</v>
      </c>
      <c r="E82">
        <f t="shared" si="11"/>
        <v>2025</v>
      </c>
      <c r="F82" t="str">
        <f t="shared" si="7"/>
        <v>Jan</v>
      </c>
      <c r="G82" t="str">
        <f t="shared" si="8"/>
        <v>Sat</v>
      </c>
      <c r="H82" t="str">
        <f t="shared" si="12"/>
        <v>Weekend</v>
      </c>
      <c r="I82" s="2">
        <v>0.4375</v>
      </c>
      <c r="J82" s="2">
        <f t="shared" si="13"/>
        <v>0.4375</v>
      </c>
      <c r="K82" t="s">
        <v>214</v>
      </c>
      <c r="L82" t="s">
        <v>87</v>
      </c>
      <c r="M82" t="s">
        <v>78</v>
      </c>
      <c r="N82" t="s">
        <v>105</v>
      </c>
      <c r="O82" t="s">
        <v>106</v>
      </c>
      <c r="P82">
        <v>5</v>
      </c>
      <c r="Q82">
        <v>52</v>
      </c>
      <c r="R82">
        <v>270</v>
      </c>
      <c r="S82">
        <v>5</v>
      </c>
      <c r="T82">
        <v>255</v>
      </c>
      <c r="U82" t="s">
        <v>64</v>
      </c>
      <c r="V82">
        <v>48</v>
      </c>
      <c r="W82" t="s">
        <v>35</v>
      </c>
      <c r="X82">
        <v>3</v>
      </c>
    </row>
    <row r="83" spans="1:24" x14ac:dyDescent="0.3">
      <c r="A83" t="s">
        <v>215</v>
      </c>
      <c r="B83" s="1">
        <v>45659</v>
      </c>
      <c r="C83">
        <f t="shared" si="9"/>
        <v>2</v>
      </c>
      <c r="D83">
        <f t="shared" si="10"/>
        <v>1</v>
      </c>
      <c r="E83">
        <f t="shared" si="11"/>
        <v>2025</v>
      </c>
      <c r="F83" t="str">
        <f t="shared" si="7"/>
        <v>Jan</v>
      </c>
      <c r="G83" t="str">
        <f t="shared" si="8"/>
        <v>Thu</v>
      </c>
      <c r="H83" t="str">
        <f t="shared" si="12"/>
        <v>Weekday</v>
      </c>
      <c r="I83" s="2">
        <v>0.4375</v>
      </c>
      <c r="J83" s="2">
        <f t="shared" si="13"/>
        <v>0.4375</v>
      </c>
      <c r="K83" t="s">
        <v>216</v>
      </c>
      <c r="L83" t="s">
        <v>87</v>
      </c>
      <c r="M83" t="s">
        <v>69</v>
      </c>
      <c r="N83" t="s">
        <v>20</v>
      </c>
      <c r="O83" t="s">
        <v>21</v>
      </c>
      <c r="P83">
        <v>5</v>
      </c>
      <c r="Q83">
        <v>63</v>
      </c>
      <c r="R83">
        <v>315</v>
      </c>
      <c r="S83">
        <v>0</v>
      </c>
      <c r="T83">
        <v>315</v>
      </c>
      <c r="U83" t="s">
        <v>22</v>
      </c>
      <c r="V83">
        <v>32</v>
      </c>
      <c r="W83" t="s">
        <v>23</v>
      </c>
      <c r="X83">
        <v>2</v>
      </c>
    </row>
    <row r="84" spans="1:24" x14ac:dyDescent="0.3">
      <c r="A84" t="s">
        <v>217</v>
      </c>
      <c r="B84" s="1">
        <v>45659</v>
      </c>
      <c r="C84">
        <f t="shared" si="9"/>
        <v>2</v>
      </c>
      <c r="D84">
        <f t="shared" si="10"/>
        <v>1</v>
      </c>
      <c r="E84">
        <f t="shared" si="11"/>
        <v>2025</v>
      </c>
      <c r="F84" t="str">
        <f t="shared" si="7"/>
        <v>Jan</v>
      </c>
      <c r="G84" t="str">
        <f t="shared" si="8"/>
        <v>Thu</v>
      </c>
      <c r="H84" t="str">
        <f t="shared" si="12"/>
        <v>Weekday</v>
      </c>
      <c r="I84" s="2">
        <v>0.78125</v>
      </c>
      <c r="J84" s="2">
        <f t="shared" si="13"/>
        <v>0.78125</v>
      </c>
      <c r="K84" t="s">
        <v>218</v>
      </c>
      <c r="L84" t="s">
        <v>52</v>
      </c>
      <c r="M84" t="s">
        <v>19</v>
      </c>
      <c r="N84" t="s">
        <v>33</v>
      </c>
      <c r="O84" t="s">
        <v>21</v>
      </c>
      <c r="P84">
        <v>2</v>
      </c>
      <c r="Q84">
        <v>80</v>
      </c>
      <c r="R84">
        <v>160</v>
      </c>
      <c r="S84">
        <v>10</v>
      </c>
      <c r="T84">
        <v>150</v>
      </c>
      <c r="U84" t="s">
        <v>22</v>
      </c>
      <c r="V84">
        <v>28</v>
      </c>
      <c r="W84" t="s">
        <v>35</v>
      </c>
      <c r="X84">
        <v>1</v>
      </c>
    </row>
    <row r="85" spans="1:24" x14ac:dyDescent="0.3">
      <c r="A85" t="s">
        <v>219</v>
      </c>
      <c r="B85" s="1">
        <v>45659</v>
      </c>
      <c r="C85">
        <f t="shared" si="9"/>
        <v>2</v>
      </c>
      <c r="D85">
        <f t="shared" si="10"/>
        <v>1</v>
      </c>
      <c r="E85">
        <f t="shared" si="11"/>
        <v>2025</v>
      </c>
      <c r="F85" t="str">
        <f t="shared" si="7"/>
        <v>Jan</v>
      </c>
      <c r="G85" t="str">
        <f t="shared" si="8"/>
        <v>Thu</v>
      </c>
      <c r="H85" t="str">
        <f t="shared" si="12"/>
        <v>Weekday</v>
      </c>
      <c r="I85" s="2">
        <v>0.4375</v>
      </c>
      <c r="J85" s="2">
        <f t="shared" si="13"/>
        <v>0.4375</v>
      </c>
      <c r="K85" t="s">
        <v>220</v>
      </c>
      <c r="L85" t="s">
        <v>31</v>
      </c>
      <c r="M85" t="s">
        <v>59</v>
      </c>
      <c r="N85" t="s">
        <v>55</v>
      </c>
      <c r="O85" t="s">
        <v>21</v>
      </c>
      <c r="P85">
        <v>4</v>
      </c>
      <c r="Q85">
        <v>85</v>
      </c>
      <c r="R85">
        <v>340</v>
      </c>
      <c r="S85">
        <v>10</v>
      </c>
      <c r="T85">
        <v>330</v>
      </c>
      <c r="U85" t="s">
        <v>64</v>
      </c>
      <c r="V85">
        <v>18</v>
      </c>
      <c r="W85" t="s">
        <v>35</v>
      </c>
      <c r="X85">
        <v>4</v>
      </c>
    </row>
    <row r="86" spans="1:24" x14ac:dyDescent="0.3">
      <c r="A86" t="s">
        <v>221</v>
      </c>
      <c r="B86" s="1">
        <v>45667</v>
      </c>
      <c r="C86">
        <f t="shared" si="9"/>
        <v>10</v>
      </c>
      <c r="D86">
        <f t="shared" si="10"/>
        <v>1</v>
      </c>
      <c r="E86">
        <f t="shared" si="11"/>
        <v>2025</v>
      </c>
      <c r="F86" t="str">
        <f t="shared" si="7"/>
        <v>Jan</v>
      </c>
      <c r="G86" t="str">
        <f t="shared" si="8"/>
        <v>Fri</v>
      </c>
      <c r="H86" t="str">
        <f t="shared" si="12"/>
        <v>Weekday</v>
      </c>
      <c r="I86" s="2">
        <v>0.37847222222222221</v>
      </c>
      <c r="J86" s="2">
        <f t="shared" si="13"/>
        <v>0.37847222222222221</v>
      </c>
      <c r="K86" t="s">
        <v>222</v>
      </c>
      <c r="L86" t="s">
        <v>49</v>
      </c>
      <c r="M86" t="s">
        <v>32</v>
      </c>
      <c r="N86" t="s">
        <v>55</v>
      </c>
      <c r="O86" t="s">
        <v>21</v>
      </c>
      <c r="P86">
        <v>5</v>
      </c>
      <c r="Q86">
        <v>108</v>
      </c>
      <c r="R86">
        <v>540</v>
      </c>
      <c r="S86">
        <v>0</v>
      </c>
      <c r="T86">
        <v>540</v>
      </c>
      <c r="U86" t="s">
        <v>34</v>
      </c>
      <c r="V86">
        <v>24</v>
      </c>
      <c r="W86" t="s">
        <v>23</v>
      </c>
      <c r="X86">
        <v>2</v>
      </c>
    </row>
    <row r="87" spans="1:24" x14ac:dyDescent="0.3">
      <c r="A87" t="s">
        <v>223</v>
      </c>
      <c r="B87" s="1">
        <v>45666</v>
      </c>
      <c r="C87">
        <f t="shared" si="9"/>
        <v>9</v>
      </c>
      <c r="D87">
        <f t="shared" si="10"/>
        <v>1</v>
      </c>
      <c r="E87">
        <f t="shared" si="11"/>
        <v>2025</v>
      </c>
      <c r="F87" t="str">
        <f t="shared" si="7"/>
        <v>Jan</v>
      </c>
      <c r="G87" t="str">
        <f t="shared" si="8"/>
        <v>Thu</v>
      </c>
      <c r="H87" t="str">
        <f t="shared" si="12"/>
        <v>Weekday</v>
      </c>
      <c r="I87" s="2">
        <v>0.4375</v>
      </c>
      <c r="J87" s="2">
        <f t="shared" si="13"/>
        <v>0.4375</v>
      </c>
      <c r="K87" t="s">
        <v>224</v>
      </c>
      <c r="L87" t="s">
        <v>90</v>
      </c>
      <c r="M87" t="s">
        <v>45</v>
      </c>
      <c r="N87" t="s">
        <v>105</v>
      </c>
      <c r="O87" t="s">
        <v>106</v>
      </c>
      <c r="P87">
        <v>3</v>
      </c>
      <c r="Q87">
        <v>69</v>
      </c>
      <c r="R87">
        <v>207</v>
      </c>
      <c r="S87">
        <v>0</v>
      </c>
      <c r="T87">
        <v>207</v>
      </c>
      <c r="U87" t="s">
        <v>42</v>
      </c>
      <c r="V87">
        <v>32</v>
      </c>
      <c r="W87" t="s">
        <v>35</v>
      </c>
      <c r="X87">
        <v>3</v>
      </c>
    </row>
    <row r="88" spans="1:24" x14ac:dyDescent="0.3">
      <c r="A88" t="s">
        <v>225</v>
      </c>
      <c r="B88" s="1">
        <v>45668</v>
      </c>
      <c r="C88">
        <f t="shared" si="9"/>
        <v>11</v>
      </c>
      <c r="D88">
        <f t="shared" si="10"/>
        <v>1</v>
      </c>
      <c r="E88">
        <f t="shared" si="11"/>
        <v>2025</v>
      </c>
      <c r="F88" t="str">
        <f t="shared" si="7"/>
        <v>Jan</v>
      </c>
      <c r="G88" t="str">
        <f t="shared" si="8"/>
        <v>Sat</v>
      </c>
      <c r="H88" t="str">
        <f t="shared" si="12"/>
        <v>Weekend</v>
      </c>
      <c r="I88" s="2">
        <v>0.76041666666666663</v>
      </c>
      <c r="J88" s="2">
        <f t="shared" si="13"/>
        <v>0.76041666666666663</v>
      </c>
      <c r="K88" t="s">
        <v>226</v>
      </c>
      <c r="L88" t="s">
        <v>49</v>
      </c>
      <c r="M88" t="s">
        <v>45</v>
      </c>
      <c r="N88" t="s">
        <v>20</v>
      </c>
      <c r="O88" t="s">
        <v>21</v>
      </c>
      <c r="P88">
        <v>2</v>
      </c>
      <c r="Q88">
        <v>89</v>
      </c>
      <c r="R88">
        <v>178</v>
      </c>
      <c r="S88">
        <v>5</v>
      </c>
      <c r="T88">
        <v>173</v>
      </c>
      <c r="U88" t="s">
        <v>64</v>
      </c>
      <c r="V88">
        <v>15</v>
      </c>
      <c r="W88" t="s">
        <v>35</v>
      </c>
      <c r="X88">
        <v>0</v>
      </c>
    </row>
    <row r="89" spans="1:24" x14ac:dyDescent="0.3">
      <c r="A89" t="s">
        <v>227</v>
      </c>
      <c r="B89" s="1">
        <v>45659</v>
      </c>
      <c r="C89">
        <f t="shared" si="9"/>
        <v>2</v>
      </c>
      <c r="D89">
        <f t="shared" si="10"/>
        <v>1</v>
      </c>
      <c r="E89">
        <f t="shared" si="11"/>
        <v>2025</v>
      </c>
      <c r="F89" t="str">
        <f t="shared" si="7"/>
        <v>Jan</v>
      </c>
      <c r="G89" t="str">
        <f t="shared" si="8"/>
        <v>Thu</v>
      </c>
      <c r="H89" t="str">
        <f t="shared" si="12"/>
        <v>Weekday</v>
      </c>
      <c r="I89" s="2">
        <v>0.4375</v>
      </c>
      <c r="J89" s="2">
        <f t="shared" si="13"/>
        <v>0.4375</v>
      </c>
      <c r="K89" t="s">
        <v>228</v>
      </c>
      <c r="L89" t="s">
        <v>52</v>
      </c>
      <c r="M89" t="s">
        <v>39</v>
      </c>
      <c r="N89" t="s">
        <v>46</v>
      </c>
      <c r="O89" t="s">
        <v>28</v>
      </c>
      <c r="P89">
        <v>3</v>
      </c>
      <c r="Q89">
        <v>21</v>
      </c>
      <c r="R89">
        <v>63</v>
      </c>
      <c r="S89">
        <v>10</v>
      </c>
      <c r="T89">
        <v>53</v>
      </c>
      <c r="U89" t="s">
        <v>22</v>
      </c>
      <c r="V89">
        <v>54</v>
      </c>
      <c r="W89" t="s">
        <v>35</v>
      </c>
      <c r="X89">
        <v>2</v>
      </c>
    </row>
    <row r="90" spans="1:24" x14ac:dyDescent="0.3">
      <c r="A90" t="s">
        <v>229</v>
      </c>
      <c r="B90" s="1">
        <v>45667</v>
      </c>
      <c r="C90">
        <f t="shared" si="9"/>
        <v>10</v>
      </c>
      <c r="D90">
        <f t="shared" si="10"/>
        <v>1</v>
      </c>
      <c r="E90">
        <f t="shared" si="11"/>
        <v>2025</v>
      </c>
      <c r="F90" t="str">
        <f t="shared" si="7"/>
        <v>Jan</v>
      </c>
      <c r="G90" t="str">
        <f t="shared" si="8"/>
        <v>Fri</v>
      </c>
      <c r="H90" t="str">
        <f t="shared" si="12"/>
        <v>Weekday</v>
      </c>
      <c r="I90" s="2">
        <v>0.76041666666666663</v>
      </c>
      <c r="J90" s="2">
        <f t="shared" si="13"/>
        <v>0.76041666666666663</v>
      </c>
      <c r="K90" t="s">
        <v>230</v>
      </c>
      <c r="L90" t="s">
        <v>31</v>
      </c>
      <c r="M90" t="s">
        <v>19</v>
      </c>
      <c r="N90" t="s">
        <v>105</v>
      </c>
      <c r="O90" t="s">
        <v>106</v>
      </c>
      <c r="P90">
        <v>6</v>
      </c>
      <c r="Q90">
        <v>79</v>
      </c>
      <c r="R90">
        <v>474</v>
      </c>
      <c r="S90">
        <v>10</v>
      </c>
      <c r="T90">
        <v>464</v>
      </c>
      <c r="U90" t="s">
        <v>42</v>
      </c>
      <c r="V90">
        <v>44</v>
      </c>
      <c r="W90" t="s">
        <v>35</v>
      </c>
      <c r="X90">
        <v>1</v>
      </c>
    </row>
    <row r="91" spans="1:24" x14ac:dyDescent="0.3">
      <c r="A91" t="s">
        <v>231</v>
      </c>
      <c r="B91" s="1">
        <v>45663</v>
      </c>
      <c r="C91">
        <f t="shared" si="9"/>
        <v>6</v>
      </c>
      <c r="D91">
        <f t="shared" si="10"/>
        <v>1</v>
      </c>
      <c r="E91">
        <f t="shared" si="11"/>
        <v>2025</v>
      </c>
      <c r="F91" t="str">
        <f t="shared" si="7"/>
        <v>Jan</v>
      </c>
      <c r="G91" t="str">
        <f t="shared" si="8"/>
        <v>Mon</v>
      </c>
      <c r="H91" t="str">
        <f t="shared" si="12"/>
        <v>Weekday</v>
      </c>
      <c r="I91" s="2">
        <v>0.37847222222222221</v>
      </c>
      <c r="J91" s="2">
        <f t="shared" si="13"/>
        <v>0.37847222222222221</v>
      </c>
      <c r="K91" t="s">
        <v>232</v>
      </c>
      <c r="L91" t="s">
        <v>31</v>
      </c>
      <c r="M91" t="s">
        <v>45</v>
      </c>
      <c r="N91" t="s">
        <v>33</v>
      </c>
      <c r="O91" t="s">
        <v>21</v>
      </c>
      <c r="P91">
        <v>6</v>
      </c>
      <c r="Q91">
        <v>35</v>
      </c>
      <c r="R91">
        <v>210</v>
      </c>
      <c r="S91">
        <v>5</v>
      </c>
      <c r="T91">
        <v>205</v>
      </c>
      <c r="U91" t="s">
        <v>34</v>
      </c>
      <c r="V91">
        <v>17</v>
      </c>
      <c r="W91" t="s">
        <v>23</v>
      </c>
      <c r="X91">
        <v>2</v>
      </c>
    </row>
    <row r="92" spans="1:24" x14ac:dyDescent="0.3">
      <c r="A92" t="s">
        <v>233</v>
      </c>
      <c r="B92" s="1">
        <v>45661</v>
      </c>
      <c r="C92">
        <f t="shared" si="9"/>
        <v>4</v>
      </c>
      <c r="D92">
        <f t="shared" si="10"/>
        <v>1</v>
      </c>
      <c r="E92">
        <f t="shared" si="11"/>
        <v>2025</v>
      </c>
      <c r="F92" t="str">
        <f t="shared" si="7"/>
        <v>Jan</v>
      </c>
      <c r="G92" t="str">
        <f t="shared" si="8"/>
        <v>Sat</v>
      </c>
      <c r="H92" t="str">
        <f t="shared" si="12"/>
        <v>Weekend</v>
      </c>
      <c r="I92" s="2">
        <v>0.76041666666666663</v>
      </c>
      <c r="J92" s="2">
        <f t="shared" si="13"/>
        <v>0.76041666666666663</v>
      </c>
      <c r="K92" t="s">
        <v>234</v>
      </c>
      <c r="L92" t="s">
        <v>38</v>
      </c>
      <c r="M92" t="s">
        <v>39</v>
      </c>
      <c r="N92" t="s">
        <v>40</v>
      </c>
      <c r="O92" t="s">
        <v>41</v>
      </c>
      <c r="P92">
        <v>6</v>
      </c>
      <c r="Q92">
        <v>44</v>
      </c>
      <c r="R92">
        <v>264</v>
      </c>
      <c r="S92">
        <v>5</v>
      </c>
      <c r="T92">
        <v>259</v>
      </c>
      <c r="U92" t="s">
        <v>34</v>
      </c>
      <c r="V92">
        <v>46</v>
      </c>
      <c r="W92" t="s">
        <v>23</v>
      </c>
      <c r="X92">
        <v>3</v>
      </c>
    </row>
    <row r="93" spans="1:24" x14ac:dyDescent="0.3">
      <c r="A93" t="s">
        <v>235</v>
      </c>
      <c r="B93" s="1">
        <v>45662</v>
      </c>
      <c r="C93">
        <f t="shared" si="9"/>
        <v>5</v>
      </c>
      <c r="D93">
        <f t="shared" si="10"/>
        <v>1</v>
      </c>
      <c r="E93">
        <f t="shared" si="11"/>
        <v>2025</v>
      </c>
      <c r="F93" t="str">
        <f t="shared" si="7"/>
        <v>Jan</v>
      </c>
      <c r="G93" t="str">
        <f t="shared" si="8"/>
        <v>Sun</v>
      </c>
      <c r="H93" t="str">
        <f t="shared" si="12"/>
        <v>Weekend</v>
      </c>
      <c r="I93" s="2">
        <v>0.78125</v>
      </c>
      <c r="J93" s="2">
        <f t="shared" si="13"/>
        <v>0.78125</v>
      </c>
      <c r="K93" t="s">
        <v>236</v>
      </c>
      <c r="L93" t="s">
        <v>49</v>
      </c>
      <c r="M93" t="s">
        <v>39</v>
      </c>
      <c r="N93" t="s">
        <v>27</v>
      </c>
      <c r="O93" t="s">
        <v>28</v>
      </c>
      <c r="P93">
        <v>5</v>
      </c>
      <c r="Q93">
        <v>81</v>
      </c>
      <c r="R93">
        <v>405</v>
      </c>
      <c r="S93">
        <v>0</v>
      </c>
      <c r="T93">
        <v>405</v>
      </c>
      <c r="U93" t="s">
        <v>42</v>
      </c>
      <c r="V93">
        <v>29</v>
      </c>
      <c r="W93" t="s">
        <v>35</v>
      </c>
      <c r="X93">
        <v>3</v>
      </c>
    </row>
    <row r="94" spans="1:24" x14ac:dyDescent="0.3">
      <c r="A94" t="s">
        <v>237</v>
      </c>
      <c r="B94" s="1">
        <v>45659</v>
      </c>
      <c r="C94">
        <f t="shared" si="9"/>
        <v>2</v>
      </c>
      <c r="D94">
        <f t="shared" si="10"/>
        <v>1</v>
      </c>
      <c r="E94">
        <f t="shared" si="11"/>
        <v>2025</v>
      </c>
      <c r="F94" t="str">
        <f t="shared" si="7"/>
        <v>Jan</v>
      </c>
      <c r="G94" t="str">
        <f t="shared" si="8"/>
        <v>Thu</v>
      </c>
      <c r="H94" t="str">
        <f t="shared" si="12"/>
        <v>Weekday</v>
      </c>
      <c r="I94" s="2">
        <v>0.4375</v>
      </c>
      <c r="J94" s="2">
        <f t="shared" si="13"/>
        <v>0.4375</v>
      </c>
      <c r="K94" t="s">
        <v>238</v>
      </c>
      <c r="L94" t="s">
        <v>31</v>
      </c>
      <c r="M94" t="s">
        <v>19</v>
      </c>
      <c r="N94" t="s">
        <v>93</v>
      </c>
      <c r="O94" t="s">
        <v>94</v>
      </c>
      <c r="P94">
        <v>2</v>
      </c>
      <c r="Q94">
        <v>34</v>
      </c>
      <c r="R94">
        <v>68</v>
      </c>
      <c r="S94">
        <v>0</v>
      </c>
      <c r="T94">
        <v>68</v>
      </c>
      <c r="U94" t="s">
        <v>64</v>
      </c>
      <c r="V94">
        <v>17</v>
      </c>
      <c r="W94" t="s">
        <v>35</v>
      </c>
      <c r="X94">
        <v>3</v>
      </c>
    </row>
    <row r="95" spans="1:24" x14ac:dyDescent="0.3">
      <c r="A95" t="s">
        <v>239</v>
      </c>
      <c r="B95" s="1">
        <v>45658</v>
      </c>
      <c r="C95">
        <f t="shared" si="9"/>
        <v>1</v>
      </c>
      <c r="D95">
        <f t="shared" si="10"/>
        <v>1</v>
      </c>
      <c r="E95">
        <f t="shared" si="11"/>
        <v>2025</v>
      </c>
      <c r="F95" t="str">
        <f t="shared" si="7"/>
        <v>Jan</v>
      </c>
      <c r="G95" t="str">
        <f t="shared" si="8"/>
        <v>Wed</v>
      </c>
      <c r="H95" t="str">
        <f t="shared" si="12"/>
        <v>Weekday</v>
      </c>
      <c r="I95" s="2">
        <v>0.4375</v>
      </c>
      <c r="J95" s="2">
        <f t="shared" si="13"/>
        <v>0.4375</v>
      </c>
      <c r="K95" t="s">
        <v>240</v>
      </c>
      <c r="L95" t="s">
        <v>38</v>
      </c>
      <c r="M95" t="s">
        <v>59</v>
      </c>
      <c r="N95" t="s">
        <v>40</v>
      </c>
      <c r="O95" t="s">
        <v>41</v>
      </c>
      <c r="P95">
        <v>6</v>
      </c>
      <c r="Q95">
        <v>39</v>
      </c>
      <c r="R95">
        <v>234</v>
      </c>
      <c r="S95">
        <v>0</v>
      </c>
      <c r="T95">
        <v>234</v>
      </c>
      <c r="U95" t="s">
        <v>64</v>
      </c>
      <c r="V95">
        <v>12</v>
      </c>
      <c r="W95" t="s">
        <v>23</v>
      </c>
      <c r="X95">
        <v>5</v>
      </c>
    </row>
    <row r="96" spans="1:24" x14ac:dyDescent="0.3">
      <c r="A96" t="s">
        <v>241</v>
      </c>
      <c r="B96" s="1">
        <v>45664</v>
      </c>
      <c r="C96">
        <f t="shared" si="9"/>
        <v>7</v>
      </c>
      <c r="D96">
        <f t="shared" si="10"/>
        <v>1</v>
      </c>
      <c r="E96">
        <f t="shared" si="11"/>
        <v>2025</v>
      </c>
      <c r="F96" t="str">
        <f t="shared" si="7"/>
        <v>Jan</v>
      </c>
      <c r="G96" t="str">
        <f t="shared" si="8"/>
        <v>Tue</v>
      </c>
      <c r="H96" t="str">
        <f t="shared" si="12"/>
        <v>Weekday</v>
      </c>
      <c r="I96" s="2">
        <v>0.4375</v>
      </c>
      <c r="J96" s="2">
        <f t="shared" si="13"/>
        <v>0.4375</v>
      </c>
      <c r="K96" t="s">
        <v>242</v>
      </c>
      <c r="L96" t="s">
        <v>90</v>
      </c>
      <c r="M96" t="s">
        <v>45</v>
      </c>
      <c r="N96" t="s">
        <v>40</v>
      </c>
      <c r="O96" t="s">
        <v>41</v>
      </c>
      <c r="P96">
        <v>5</v>
      </c>
      <c r="Q96">
        <v>42</v>
      </c>
      <c r="R96">
        <v>210</v>
      </c>
      <c r="S96">
        <v>0</v>
      </c>
      <c r="T96">
        <v>210</v>
      </c>
      <c r="U96" t="s">
        <v>34</v>
      </c>
      <c r="V96">
        <v>39</v>
      </c>
      <c r="W96" t="s">
        <v>23</v>
      </c>
      <c r="X96">
        <v>5</v>
      </c>
    </row>
    <row r="97" spans="1:24" x14ac:dyDescent="0.3">
      <c r="A97" t="s">
        <v>243</v>
      </c>
      <c r="B97" s="1">
        <v>45662</v>
      </c>
      <c r="C97">
        <f t="shared" si="9"/>
        <v>5</v>
      </c>
      <c r="D97">
        <f t="shared" si="10"/>
        <v>1</v>
      </c>
      <c r="E97">
        <f t="shared" si="11"/>
        <v>2025</v>
      </c>
      <c r="F97" t="str">
        <f t="shared" si="7"/>
        <v>Jan</v>
      </c>
      <c r="G97" t="str">
        <f t="shared" si="8"/>
        <v>Sun</v>
      </c>
      <c r="H97" t="str">
        <f t="shared" si="12"/>
        <v>Weekend</v>
      </c>
      <c r="I97" s="2">
        <v>0.37847222222222221</v>
      </c>
      <c r="J97" s="2">
        <f t="shared" si="13"/>
        <v>0.37847222222222221</v>
      </c>
      <c r="K97" t="s">
        <v>244</v>
      </c>
      <c r="L97" t="s">
        <v>31</v>
      </c>
      <c r="M97" t="s">
        <v>78</v>
      </c>
      <c r="N97" t="s">
        <v>27</v>
      </c>
      <c r="O97" t="s">
        <v>28</v>
      </c>
      <c r="P97">
        <v>4</v>
      </c>
      <c r="Q97">
        <v>44</v>
      </c>
      <c r="R97">
        <v>176</v>
      </c>
      <c r="S97">
        <v>10</v>
      </c>
      <c r="T97">
        <v>166</v>
      </c>
      <c r="U97" t="s">
        <v>64</v>
      </c>
      <c r="V97">
        <v>27</v>
      </c>
      <c r="W97" t="s">
        <v>35</v>
      </c>
      <c r="X97">
        <v>5</v>
      </c>
    </row>
    <row r="98" spans="1:24" x14ac:dyDescent="0.3">
      <c r="A98" t="s">
        <v>245</v>
      </c>
      <c r="B98" s="1">
        <v>45661</v>
      </c>
      <c r="C98">
        <f t="shared" si="9"/>
        <v>4</v>
      </c>
      <c r="D98">
        <f t="shared" si="10"/>
        <v>1</v>
      </c>
      <c r="E98">
        <f t="shared" si="11"/>
        <v>2025</v>
      </c>
      <c r="F98" t="str">
        <f t="shared" si="7"/>
        <v>Jan</v>
      </c>
      <c r="G98" t="str">
        <f t="shared" si="8"/>
        <v>Sat</v>
      </c>
      <c r="H98" t="str">
        <f t="shared" si="12"/>
        <v>Weekend</v>
      </c>
      <c r="I98" s="2">
        <v>0.37847222222222221</v>
      </c>
      <c r="J98" s="2">
        <f t="shared" si="13"/>
        <v>0.37847222222222221</v>
      </c>
      <c r="K98" t="s">
        <v>246</v>
      </c>
      <c r="L98" t="s">
        <v>38</v>
      </c>
      <c r="M98" t="s">
        <v>39</v>
      </c>
      <c r="N98" t="s">
        <v>105</v>
      </c>
      <c r="O98" t="s">
        <v>106</v>
      </c>
      <c r="P98">
        <v>5</v>
      </c>
      <c r="Q98">
        <v>91</v>
      </c>
      <c r="R98">
        <v>455</v>
      </c>
      <c r="S98">
        <v>5</v>
      </c>
      <c r="T98">
        <v>450</v>
      </c>
      <c r="U98" t="s">
        <v>34</v>
      </c>
      <c r="V98">
        <v>12</v>
      </c>
      <c r="W98" t="s">
        <v>35</v>
      </c>
      <c r="X98">
        <v>2</v>
      </c>
    </row>
    <row r="99" spans="1:24" x14ac:dyDescent="0.3">
      <c r="A99" t="s">
        <v>247</v>
      </c>
      <c r="B99" s="1">
        <v>45667</v>
      </c>
      <c r="C99">
        <f t="shared" si="9"/>
        <v>10</v>
      </c>
      <c r="D99">
        <f t="shared" si="10"/>
        <v>1</v>
      </c>
      <c r="E99">
        <f t="shared" si="11"/>
        <v>2025</v>
      </c>
      <c r="F99" t="str">
        <f t="shared" si="7"/>
        <v>Jan</v>
      </c>
      <c r="G99" t="str">
        <f t="shared" si="8"/>
        <v>Fri</v>
      </c>
      <c r="H99" t="str">
        <f t="shared" si="12"/>
        <v>Weekday</v>
      </c>
      <c r="I99" s="2">
        <v>0.4375</v>
      </c>
      <c r="J99" s="2">
        <f t="shared" si="13"/>
        <v>0.4375</v>
      </c>
      <c r="K99" t="s">
        <v>248</v>
      </c>
      <c r="L99" t="s">
        <v>87</v>
      </c>
      <c r="M99" t="s">
        <v>19</v>
      </c>
      <c r="N99" t="s">
        <v>40</v>
      </c>
      <c r="O99" t="s">
        <v>41</v>
      </c>
      <c r="P99">
        <v>5</v>
      </c>
      <c r="Q99">
        <v>58</v>
      </c>
      <c r="R99">
        <v>290</v>
      </c>
      <c r="S99">
        <v>10</v>
      </c>
      <c r="T99">
        <v>280</v>
      </c>
      <c r="U99" t="s">
        <v>22</v>
      </c>
      <c r="V99">
        <v>43</v>
      </c>
      <c r="W99" t="s">
        <v>35</v>
      </c>
      <c r="X99">
        <v>2</v>
      </c>
    </row>
    <row r="100" spans="1:24" x14ac:dyDescent="0.3">
      <c r="A100" t="s">
        <v>249</v>
      </c>
      <c r="B100" s="1">
        <v>45662</v>
      </c>
      <c r="C100">
        <f t="shared" si="9"/>
        <v>5</v>
      </c>
      <c r="D100">
        <f t="shared" si="10"/>
        <v>1</v>
      </c>
      <c r="E100">
        <f t="shared" si="11"/>
        <v>2025</v>
      </c>
      <c r="F100" t="str">
        <f t="shared" si="7"/>
        <v>Jan</v>
      </c>
      <c r="G100" t="str">
        <f t="shared" si="8"/>
        <v>Sun</v>
      </c>
      <c r="H100" t="str">
        <f t="shared" si="12"/>
        <v>Weekend</v>
      </c>
      <c r="I100" s="2">
        <v>0.4375</v>
      </c>
      <c r="J100" s="2">
        <f t="shared" si="13"/>
        <v>0.4375</v>
      </c>
      <c r="K100" t="s">
        <v>250</v>
      </c>
      <c r="L100" t="s">
        <v>31</v>
      </c>
      <c r="M100" t="s">
        <v>26</v>
      </c>
      <c r="N100" t="s">
        <v>55</v>
      </c>
      <c r="O100" t="s">
        <v>21</v>
      </c>
      <c r="P100">
        <v>1</v>
      </c>
      <c r="Q100">
        <v>111</v>
      </c>
      <c r="R100">
        <v>111</v>
      </c>
      <c r="S100">
        <v>0</v>
      </c>
      <c r="T100">
        <v>111</v>
      </c>
      <c r="U100" t="s">
        <v>64</v>
      </c>
      <c r="V100">
        <v>18</v>
      </c>
      <c r="W100" t="s">
        <v>35</v>
      </c>
      <c r="X100">
        <v>1</v>
      </c>
    </row>
    <row r="101" spans="1:24" x14ac:dyDescent="0.3">
      <c r="A101" t="s">
        <v>251</v>
      </c>
      <c r="B101" s="1">
        <v>45663</v>
      </c>
      <c r="C101">
        <f t="shared" si="9"/>
        <v>6</v>
      </c>
      <c r="D101">
        <f t="shared" si="10"/>
        <v>1</v>
      </c>
      <c r="E101">
        <f t="shared" si="11"/>
        <v>2025</v>
      </c>
      <c r="F101" t="str">
        <f t="shared" si="7"/>
        <v>Jan</v>
      </c>
      <c r="G101" t="str">
        <f t="shared" si="8"/>
        <v>Mon</v>
      </c>
      <c r="H101" t="str">
        <f t="shared" si="12"/>
        <v>Weekday</v>
      </c>
      <c r="I101" s="2">
        <v>0.78125</v>
      </c>
      <c r="J101" s="2">
        <f t="shared" si="13"/>
        <v>0.78125</v>
      </c>
      <c r="K101" t="s">
        <v>252</v>
      </c>
      <c r="L101" t="s">
        <v>90</v>
      </c>
      <c r="M101" t="s">
        <v>69</v>
      </c>
      <c r="N101" t="s">
        <v>40</v>
      </c>
      <c r="O101" t="s">
        <v>41</v>
      </c>
      <c r="P101">
        <v>4</v>
      </c>
      <c r="Q101">
        <v>24</v>
      </c>
      <c r="R101">
        <v>96</v>
      </c>
      <c r="S101">
        <v>0</v>
      </c>
      <c r="T101">
        <v>96</v>
      </c>
      <c r="U101" t="s">
        <v>64</v>
      </c>
      <c r="V101">
        <v>47</v>
      </c>
      <c r="W101" t="s">
        <v>23</v>
      </c>
      <c r="X101">
        <v>4</v>
      </c>
    </row>
    <row r="102" spans="1:24" x14ac:dyDescent="0.3">
      <c r="A102" t="s">
        <v>253</v>
      </c>
      <c r="B102" s="1">
        <v>45666</v>
      </c>
      <c r="C102">
        <f t="shared" si="9"/>
        <v>9</v>
      </c>
      <c r="D102">
        <f t="shared" si="10"/>
        <v>1</v>
      </c>
      <c r="E102">
        <f t="shared" si="11"/>
        <v>2025</v>
      </c>
      <c r="F102" t="str">
        <f t="shared" si="7"/>
        <v>Jan</v>
      </c>
      <c r="G102" t="str">
        <f t="shared" si="8"/>
        <v>Thu</v>
      </c>
      <c r="H102" t="str">
        <f t="shared" si="12"/>
        <v>Weekday</v>
      </c>
      <c r="I102" s="2">
        <v>0.37847222222222221</v>
      </c>
      <c r="J102" s="2">
        <f t="shared" si="13"/>
        <v>0.37847222222222221</v>
      </c>
      <c r="K102" t="s">
        <v>254</v>
      </c>
      <c r="L102" t="s">
        <v>31</v>
      </c>
      <c r="M102" t="s">
        <v>19</v>
      </c>
      <c r="N102" t="s">
        <v>27</v>
      </c>
      <c r="O102" t="s">
        <v>28</v>
      </c>
      <c r="P102">
        <v>3</v>
      </c>
      <c r="Q102">
        <v>25</v>
      </c>
      <c r="R102">
        <v>75</v>
      </c>
      <c r="S102">
        <v>0</v>
      </c>
      <c r="T102">
        <v>75</v>
      </c>
      <c r="U102" t="s">
        <v>34</v>
      </c>
      <c r="V102">
        <v>21</v>
      </c>
      <c r="W102" t="s">
        <v>23</v>
      </c>
      <c r="X102">
        <v>2</v>
      </c>
    </row>
    <row r="103" spans="1:24" x14ac:dyDescent="0.3">
      <c r="A103" t="s">
        <v>255</v>
      </c>
      <c r="B103" s="1">
        <v>45666</v>
      </c>
      <c r="C103">
        <f t="shared" si="9"/>
        <v>9</v>
      </c>
      <c r="D103">
        <f t="shared" si="10"/>
        <v>1</v>
      </c>
      <c r="E103">
        <f t="shared" si="11"/>
        <v>2025</v>
      </c>
      <c r="F103" t="str">
        <f t="shared" si="7"/>
        <v>Jan</v>
      </c>
      <c r="G103" t="str">
        <f t="shared" si="8"/>
        <v>Thu</v>
      </c>
      <c r="H103" t="str">
        <f t="shared" si="12"/>
        <v>Weekday</v>
      </c>
      <c r="I103" s="2">
        <v>0.37847222222222221</v>
      </c>
      <c r="J103" s="2">
        <f t="shared" si="13"/>
        <v>0.37847222222222221</v>
      </c>
      <c r="K103" t="s">
        <v>256</v>
      </c>
      <c r="L103" t="s">
        <v>52</v>
      </c>
      <c r="M103" t="s">
        <v>69</v>
      </c>
      <c r="N103" t="s">
        <v>40</v>
      </c>
      <c r="O103" t="s">
        <v>41</v>
      </c>
      <c r="P103">
        <v>6</v>
      </c>
      <c r="Q103">
        <v>103</v>
      </c>
      <c r="R103">
        <v>618</v>
      </c>
      <c r="S103">
        <v>0</v>
      </c>
      <c r="T103">
        <v>618</v>
      </c>
      <c r="U103" t="s">
        <v>42</v>
      </c>
      <c r="V103">
        <v>35</v>
      </c>
      <c r="W103" t="s">
        <v>35</v>
      </c>
      <c r="X103">
        <v>1</v>
      </c>
    </row>
    <row r="104" spans="1:24" x14ac:dyDescent="0.3">
      <c r="A104" t="s">
        <v>257</v>
      </c>
      <c r="B104" s="1">
        <v>45662</v>
      </c>
      <c r="C104">
        <f t="shared" si="9"/>
        <v>5</v>
      </c>
      <c r="D104">
        <f t="shared" si="10"/>
        <v>1</v>
      </c>
      <c r="E104">
        <f t="shared" si="11"/>
        <v>2025</v>
      </c>
      <c r="F104" t="str">
        <f t="shared" si="7"/>
        <v>Jan</v>
      </c>
      <c r="G104" t="str">
        <f t="shared" si="8"/>
        <v>Sun</v>
      </c>
      <c r="H104" t="str">
        <f t="shared" si="12"/>
        <v>Weekend</v>
      </c>
      <c r="I104" s="2">
        <v>0.37847222222222221</v>
      </c>
      <c r="J104" s="2">
        <f t="shared" si="13"/>
        <v>0.37847222222222221</v>
      </c>
      <c r="K104" t="s">
        <v>258</v>
      </c>
      <c r="L104" t="s">
        <v>90</v>
      </c>
      <c r="M104" t="s">
        <v>26</v>
      </c>
      <c r="N104" t="s">
        <v>27</v>
      </c>
      <c r="O104" t="s">
        <v>28</v>
      </c>
      <c r="P104">
        <v>4</v>
      </c>
      <c r="Q104">
        <v>59</v>
      </c>
      <c r="R104">
        <v>236</v>
      </c>
      <c r="S104">
        <v>0</v>
      </c>
      <c r="T104">
        <v>236</v>
      </c>
      <c r="U104" t="s">
        <v>64</v>
      </c>
      <c r="V104">
        <v>27</v>
      </c>
      <c r="W104" t="s">
        <v>23</v>
      </c>
      <c r="X104">
        <v>0</v>
      </c>
    </row>
    <row r="105" spans="1:24" x14ac:dyDescent="0.3">
      <c r="A105" t="s">
        <v>259</v>
      </c>
      <c r="B105" s="1">
        <v>45668</v>
      </c>
      <c r="C105">
        <f t="shared" si="9"/>
        <v>11</v>
      </c>
      <c r="D105">
        <f t="shared" si="10"/>
        <v>1</v>
      </c>
      <c r="E105">
        <f t="shared" si="11"/>
        <v>2025</v>
      </c>
      <c r="F105" t="str">
        <f t="shared" si="7"/>
        <v>Jan</v>
      </c>
      <c r="G105" t="str">
        <f t="shared" si="8"/>
        <v>Sat</v>
      </c>
      <c r="H105" t="str">
        <f t="shared" si="12"/>
        <v>Weekend</v>
      </c>
      <c r="I105" s="2">
        <v>0.76041666666666663</v>
      </c>
      <c r="J105" s="2">
        <f t="shared" si="13"/>
        <v>0.76041666666666663</v>
      </c>
      <c r="K105" t="s">
        <v>260</v>
      </c>
      <c r="L105" t="s">
        <v>58</v>
      </c>
      <c r="M105" t="s">
        <v>78</v>
      </c>
      <c r="N105" t="s">
        <v>20</v>
      </c>
      <c r="O105" t="s">
        <v>21</v>
      </c>
      <c r="P105">
        <v>4</v>
      </c>
      <c r="Q105">
        <v>73</v>
      </c>
      <c r="R105">
        <v>292</v>
      </c>
      <c r="S105">
        <v>0</v>
      </c>
      <c r="T105">
        <v>292</v>
      </c>
      <c r="U105" t="s">
        <v>22</v>
      </c>
      <c r="V105">
        <v>51</v>
      </c>
      <c r="W105" t="s">
        <v>35</v>
      </c>
      <c r="X105">
        <v>1</v>
      </c>
    </row>
    <row r="106" spans="1:24" x14ac:dyDescent="0.3">
      <c r="A106" t="s">
        <v>261</v>
      </c>
      <c r="B106" s="1">
        <v>45666</v>
      </c>
      <c r="C106">
        <f t="shared" si="9"/>
        <v>9</v>
      </c>
      <c r="D106">
        <f t="shared" si="10"/>
        <v>1</v>
      </c>
      <c r="E106">
        <f t="shared" si="11"/>
        <v>2025</v>
      </c>
      <c r="F106" t="str">
        <f t="shared" si="7"/>
        <v>Jan</v>
      </c>
      <c r="G106" t="str">
        <f t="shared" si="8"/>
        <v>Thu</v>
      </c>
      <c r="H106" t="str">
        <f t="shared" si="12"/>
        <v>Weekday</v>
      </c>
      <c r="I106" s="2">
        <v>0.37847222222222221</v>
      </c>
      <c r="J106" s="2">
        <f t="shared" si="13"/>
        <v>0.37847222222222221</v>
      </c>
      <c r="K106" t="s">
        <v>262</v>
      </c>
      <c r="L106" t="s">
        <v>38</v>
      </c>
      <c r="M106" t="s">
        <v>32</v>
      </c>
      <c r="N106" t="s">
        <v>46</v>
      </c>
      <c r="O106" t="s">
        <v>28</v>
      </c>
      <c r="P106">
        <v>1</v>
      </c>
      <c r="Q106">
        <v>105</v>
      </c>
      <c r="R106">
        <v>105</v>
      </c>
      <c r="S106">
        <v>10</v>
      </c>
      <c r="T106">
        <v>95</v>
      </c>
      <c r="U106" t="s">
        <v>22</v>
      </c>
      <c r="V106">
        <v>38</v>
      </c>
      <c r="W106" t="s">
        <v>35</v>
      </c>
      <c r="X106">
        <v>0</v>
      </c>
    </row>
    <row r="107" spans="1:24" x14ac:dyDescent="0.3">
      <c r="A107" t="s">
        <v>263</v>
      </c>
      <c r="B107" s="1">
        <v>45662</v>
      </c>
      <c r="C107">
        <f t="shared" si="9"/>
        <v>5</v>
      </c>
      <c r="D107">
        <f t="shared" si="10"/>
        <v>1</v>
      </c>
      <c r="E107">
        <f t="shared" si="11"/>
        <v>2025</v>
      </c>
      <c r="F107" t="str">
        <f t="shared" si="7"/>
        <v>Jan</v>
      </c>
      <c r="G107" t="str">
        <f t="shared" si="8"/>
        <v>Sun</v>
      </c>
      <c r="H107" t="str">
        <f t="shared" si="12"/>
        <v>Weekend</v>
      </c>
      <c r="I107" s="2">
        <v>0.78125</v>
      </c>
      <c r="J107" s="2">
        <f t="shared" si="13"/>
        <v>0.78125</v>
      </c>
      <c r="K107" t="s">
        <v>264</v>
      </c>
      <c r="L107" t="s">
        <v>49</v>
      </c>
      <c r="M107" t="s">
        <v>39</v>
      </c>
      <c r="N107" t="s">
        <v>20</v>
      </c>
      <c r="O107" t="s">
        <v>21</v>
      </c>
      <c r="P107">
        <v>1</v>
      </c>
      <c r="Q107">
        <v>35</v>
      </c>
      <c r="R107">
        <v>35</v>
      </c>
      <c r="S107">
        <v>0</v>
      </c>
      <c r="T107">
        <v>35</v>
      </c>
      <c r="U107" t="s">
        <v>64</v>
      </c>
      <c r="V107">
        <v>42</v>
      </c>
      <c r="W107" t="s">
        <v>35</v>
      </c>
      <c r="X107">
        <v>5</v>
      </c>
    </row>
    <row r="108" spans="1:24" x14ac:dyDescent="0.3">
      <c r="A108" t="s">
        <v>265</v>
      </c>
      <c r="B108" s="1">
        <v>45663</v>
      </c>
      <c r="C108">
        <f t="shared" si="9"/>
        <v>6</v>
      </c>
      <c r="D108">
        <f t="shared" si="10"/>
        <v>1</v>
      </c>
      <c r="E108">
        <f t="shared" si="11"/>
        <v>2025</v>
      </c>
      <c r="F108" t="str">
        <f t="shared" si="7"/>
        <v>Jan</v>
      </c>
      <c r="G108" t="str">
        <f t="shared" si="8"/>
        <v>Mon</v>
      </c>
      <c r="H108" t="str">
        <f t="shared" si="12"/>
        <v>Weekday</v>
      </c>
      <c r="I108" s="2">
        <v>0.4375</v>
      </c>
      <c r="J108" s="2">
        <f t="shared" si="13"/>
        <v>0.4375</v>
      </c>
      <c r="K108" t="s">
        <v>266</v>
      </c>
      <c r="L108" t="s">
        <v>31</v>
      </c>
      <c r="M108" t="s">
        <v>19</v>
      </c>
      <c r="N108" t="s">
        <v>33</v>
      </c>
      <c r="O108" t="s">
        <v>21</v>
      </c>
      <c r="P108">
        <v>4</v>
      </c>
      <c r="Q108">
        <v>94</v>
      </c>
      <c r="R108">
        <v>376</v>
      </c>
      <c r="S108">
        <v>5</v>
      </c>
      <c r="T108">
        <v>371</v>
      </c>
      <c r="U108" t="s">
        <v>42</v>
      </c>
      <c r="V108">
        <v>51</v>
      </c>
      <c r="W108" t="s">
        <v>23</v>
      </c>
      <c r="X108">
        <v>0</v>
      </c>
    </row>
    <row r="109" spans="1:24" x14ac:dyDescent="0.3">
      <c r="A109" t="s">
        <v>267</v>
      </c>
      <c r="B109" s="1">
        <v>45660</v>
      </c>
      <c r="C109">
        <f t="shared" si="9"/>
        <v>3</v>
      </c>
      <c r="D109">
        <f t="shared" si="10"/>
        <v>1</v>
      </c>
      <c r="E109">
        <f t="shared" si="11"/>
        <v>2025</v>
      </c>
      <c r="F109" t="str">
        <f t="shared" si="7"/>
        <v>Jan</v>
      </c>
      <c r="G109" t="str">
        <f t="shared" si="8"/>
        <v>Fri</v>
      </c>
      <c r="H109" t="str">
        <f t="shared" si="12"/>
        <v>Weekday</v>
      </c>
      <c r="I109" s="2">
        <v>0.37847222222222221</v>
      </c>
      <c r="J109" s="2">
        <f t="shared" si="13"/>
        <v>0.37847222222222221</v>
      </c>
      <c r="K109" t="s">
        <v>268</v>
      </c>
      <c r="L109" t="s">
        <v>58</v>
      </c>
      <c r="M109" t="s">
        <v>59</v>
      </c>
      <c r="N109" t="s">
        <v>79</v>
      </c>
      <c r="O109" t="s">
        <v>80</v>
      </c>
      <c r="P109">
        <v>6</v>
      </c>
      <c r="Q109">
        <v>57</v>
      </c>
      <c r="R109">
        <v>342</v>
      </c>
      <c r="S109">
        <v>5</v>
      </c>
      <c r="T109">
        <v>337</v>
      </c>
      <c r="U109" t="s">
        <v>22</v>
      </c>
      <c r="V109">
        <v>13</v>
      </c>
      <c r="W109" t="s">
        <v>35</v>
      </c>
      <c r="X109">
        <v>3</v>
      </c>
    </row>
    <row r="110" spans="1:24" x14ac:dyDescent="0.3">
      <c r="A110" t="s">
        <v>269</v>
      </c>
      <c r="B110" s="1">
        <v>45668</v>
      </c>
      <c r="C110">
        <f t="shared" si="9"/>
        <v>11</v>
      </c>
      <c r="D110">
        <f t="shared" si="10"/>
        <v>1</v>
      </c>
      <c r="E110">
        <f t="shared" si="11"/>
        <v>2025</v>
      </c>
      <c r="F110" t="str">
        <f t="shared" si="7"/>
        <v>Jan</v>
      </c>
      <c r="G110" t="str">
        <f t="shared" si="8"/>
        <v>Sat</v>
      </c>
      <c r="H110" t="str">
        <f t="shared" si="12"/>
        <v>Weekend</v>
      </c>
      <c r="I110" s="2">
        <v>0.4375</v>
      </c>
      <c r="J110" s="2">
        <f t="shared" si="13"/>
        <v>0.4375</v>
      </c>
      <c r="K110" t="s">
        <v>270</v>
      </c>
      <c r="L110" t="s">
        <v>38</v>
      </c>
      <c r="M110" t="s">
        <v>69</v>
      </c>
      <c r="N110" t="s">
        <v>27</v>
      </c>
      <c r="O110" t="s">
        <v>28</v>
      </c>
      <c r="P110">
        <v>3</v>
      </c>
      <c r="Q110">
        <v>77</v>
      </c>
      <c r="R110">
        <v>231</v>
      </c>
      <c r="S110">
        <v>10</v>
      </c>
      <c r="T110">
        <v>221</v>
      </c>
      <c r="U110" t="s">
        <v>34</v>
      </c>
      <c r="V110">
        <v>41</v>
      </c>
      <c r="W110" t="s">
        <v>23</v>
      </c>
      <c r="X110">
        <v>1</v>
      </c>
    </row>
    <row r="111" spans="1:24" x14ac:dyDescent="0.3">
      <c r="A111" t="s">
        <v>271</v>
      </c>
      <c r="B111" s="1">
        <v>45661</v>
      </c>
      <c r="C111">
        <f t="shared" si="9"/>
        <v>4</v>
      </c>
      <c r="D111">
        <f t="shared" si="10"/>
        <v>1</v>
      </c>
      <c r="E111">
        <f t="shared" si="11"/>
        <v>2025</v>
      </c>
      <c r="F111" t="str">
        <f t="shared" si="7"/>
        <v>Jan</v>
      </c>
      <c r="G111" t="str">
        <f t="shared" si="8"/>
        <v>Sat</v>
      </c>
      <c r="H111" t="str">
        <f t="shared" si="12"/>
        <v>Weekend</v>
      </c>
      <c r="I111" s="2">
        <v>0.37847222222222221</v>
      </c>
      <c r="J111" s="2">
        <f t="shared" si="13"/>
        <v>0.37847222222222221</v>
      </c>
      <c r="K111" t="s">
        <v>272</v>
      </c>
      <c r="L111" t="s">
        <v>49</v>
      </c>
      <c r="M111" t="s">
        <v>45</v>
      </c>
      <c r="N111" t="s">
        <v>33</v>
      </c>
      <c r="O111" t="s">
        <v>21</v>
      </c>
      <c r="P111">
        <v>4</v>
      </c>
      <c r="Q111">
        <v>36</v>
      </c>
      <c r="R111">
        <v>144</v>
      </c>
      <c r="S111">
        <v>0</v>
      </c>
      <c r="T111">
        <v>144</v>
      </c>
      <c r="U111" t="s">
        <v>34</v>
      </c>
      <c r="V111">
        <v>20</v>
      </c>
      <c r="W111" t="s">
        <v>23</v>
      </c>
      <c r="X111">
        <v>2</v>
      </c>
    </row>
    <row r="112" spans="1:24" x14ac:dyDescent="0.3">
      <c r="A112" t="s">
        <v>273</v>
      </c>
      <c r="B112" s="1">
        <v>45668</v>
      </c>
      <c r="C112">
        <f t="shared" si="9"/>
        <v>11</v>
      </c>
      <c r="D112">
        <f t="shared" si="10"/>
        <v>1</v>
      </c>
      <c r="E112">
        <f t="shared" si="11"/>
        <v>2025</v>
      </c>
      <c r="F112" t="str">
        <f t="shared" si="7"/>
        <v>Jan</v>
      </c>
      <c r="G112" t="str">
        <f t="shared" si="8"/>
        <v>Sat</v>
      </c>
      <c r="H112" t="str">
        <f t="shared" si="12"/>
        <v>Weekend</v>
      </c>
      <c r="I112" s="2">
        <v>0.4375</v>
      </c>
      <c r="J112" s="2">
        <f t="shared" si="13"/>
        <v>0.4375</v>
      </c>
      <c r="K112" t="s">
        <v>274</v>
      </c>
      <c r="L112" t="s">
        <v>52</v>
      </c>
      <c r="M112" t="s">
        <v>32</v>
      </c>
      <c r="N112" t="s">
        <v>40</v>
      </c>
      <c r="O112" t="s">
        <v>41</v>
      </c>
      <c r="P112">
        <v>5</v>
      </c>
      <c r="Q112">
        <v>64</v>
      </c>
      <c r="R112">
        <v>320</v>
      </c>
      <c r="S112">
        <v>0</v>
      </c>
      <c r="T112">
        <v>320</v>
      </c>
      <c r="U112" t="s">
        <v>22</v>
      </c>
      <c r="V112">
        <v>46</v>
      </c>
      <c r="W112" t="s">
        <v>23</v>
      </c>
      <c r="X112">
        <v>3</v>
      </c>
    </row>
    <row r="113" spans="1:24" x14ac:dyDescent="0.3">
      <c r="A113" t="s">
        <v>275</v>
      </c>
      <c r="B113" s="1">
        <v>45668</v>
      </c>
      <c r="C113">
        <f t="shared" si="9"/>
        <v>11</v>
      </c>
      <c r="D113">
        <f t="shared" si="10"/>
        <v>1</v>
      </c>
      <c r="E113">
        <f t="shared" si="11"/>
        <v>2025</v>
      </c>
      <c r="F113" t="str">
        <f t="shared" si="7"/>
        <v>Jan</v>
      </c>
      <c r="G113" t="str">
        <f t="shared" si="8"/>
        <v>Sat</v>
      </c>
      <c r="H113" t="str">
        <f t="shared" si="12"/>
        <v>Weekend</v>
      </c>
      <c r="I113" s="2">
        <v>0.4375</v>
      </c>
      <c r="J113" s="2">
        <f t="shared" si="13"/>
        <v>0.4375</v>
      </c>
      <c r="K113" t="s">
        <v>276</v>
      </c>
      <c r="L113" t="s">
        <v>31</v>
      </c>
      <c r="M113" t="s">
        <v>78</v>
      </c>
      <c r="N113" t="s">
        <v>27</v>
      </c>
      <c r="O113" t="s">
        <v>28</v>
      </c>
      <c r="P113">
        <v>2</v>
      </c>
      <c r="Q113">
        <v>31</v>
      </c>
      <c r="R113">
        <v>62</v>
      </c>
      <c r="S113">
        <v>0</v>
      </c>
      <c r="T113">
        <v>62</v>
      </c>
      <c r="U113" t="s">
        <v>64</v>
      </c>
      <c r="V113">
        <v>47</v>
      </c>
      <c r="W113" t="s">
        <v>23</v>
      </c>
      <c r="X113">
        <v>1</v>
      </c>
    </row>
    <row r="114" spans="1:24" x14ac:dyDescent="0.3">
      <c r="A114" t="s">
        <v>277</v>
      </c>
      <c r="B114" s="1">
        <v>45660</v>
      </c>
      <c r="C114">
        <f t="shared" si="9"/>
        <v>3</v>
      </c>
      <c r="D114">
        <f t="shared" si="10"/>
        <v>1</v>
      </c>
      <c r="E114">
        <f t="shared" si="11"/>
        <v>2025</v>
      </c>
      <c r="F114" t="str">
        <f t="shared" si="7"/>
        <v>Jan</v>
      </c>
      <c r="G114" t="str">
        <f t="shared" si="8"/>
        <v>Fri</v>
      </c>
      <c r="H114" t="str">
        <f t="shared" si="12"/>
        <v>Weekday</v>
      </c>
      <c r="I114" s="2">
        <v>0.76041666666666663</v>
      </c>
      <c r="J114" s="2">
        <f t="shared" si="13"/>
        <v>0.76041666666666663</v>
      </c>
      <c r="K114" t="s">
        <v>278</v>
      </c>
      <c r="L114" t="s">
        <v>52</v>
      </c>
      <c r="M114" t="s">
        <v>69</v>
      </c>
      <c r="N114" t="s">
        <v>55</v>
      </c>
      <c r="O114" t="s">
        <v>21</v>
      </c>
      <c r="P114">
        <v>5</v>
      </c>
      <c r="Q114">
        <v>81</v>
      </c>
      <c r="R114">
        <v>405</v>
      </c>
      <c r="S114">
        <v>10</v>
      </c>
      <c r="T114">
        <v>395</v>
      </c>
      <c r="U114" t="s">
        <v>64</v>
      </c>
      <c r="V114">
        <v>27</v>
      </c>
      <c r="W114" t="s">
        <v>35</v>
      </c>
      <c r="X114">
        <v>3</v>
      </c>
    </row>
    <row r="115" spans="1:24" x14ac:dyDescent="0.3">
      <c r="A115" t="s">
        <v>279</v>
      </c>
      <c r="B115" s="1">
        <v>45659</v>
      </c>
      <c r="C115">
        <f t="shared" si="9"/>
        <v>2</v>
      </c>
      <c r="D115">
        <f t="shared" si="10"/>
        <v>1</v>
      </c>
      <c r="E115">
        <f t="shared" si="11"/>
        <v>2025</v>
      </c>
      <c r="F115" t="str">
        <f t="shared" si="7"/>
        <v>Jan</v>
      </c>
      <c r="G115" t="str">
        <f t="shared" si="8"/>
        <v>Thu</v>
      </c>
      <c r="H115" t="str">
        <f t="shared" si="12"/>
        <v>Weekday</v>
      </c>
      <c r="I115" s="2">
        <v>0.78125</v>
      </c>
      <c r="J115" s="2">
        <f t="shared" si="13"/>
        <v>0.78125</v>
      </c>
      <c r="K115" t="s">
        <v>280</v>
      </c>
      <c r="L115" t="s">
        <v>87</v>
      </c>
      <c r="M115" t="s">
        <v>19</v>
      </c>
      <c r="N115" t="s">
        <v>27</v>
      </c>
      <c r="O115" t="s">
        <v>28</v>
      </c>
      <c r="P115">
        <v>6</v>
      </c>
      <c r="Q115">
        <v>27</v>
      </c>
      <c r="R115">
        <v>162</v>
      </c>
      <c r="S115">
        <v>0</v>
      </c>
      <c r="T115">
        <v>162</v>
      </c>
      <c r="U115" t="s">
        <v>64</v>
      </c>
      <c r="V115">
        <v>29</v>
      </c>
      <c r="W115" t="s">
        <v>35</v>
      </c>
      <c r="X115">
        <v>5</v>
      </c>
    </row>
    <row r="116" spans="1:24" x14ac:dyDescent="0.3">
      <c r="A116" t="s">
        <v>281</v>
      </c>
      <c r="B116" s="1">
        <v>45662</v>
      </c>
      <c r="C116">
        <f t="shared" si="9"/>
        <v>5</v>
      </c>
      <c r="D116">
        <f t="shared" si="10"/>
        <v>1</v>
      </c>
      <c r="E116">
        <f t="shared" si="11"/>
        <v>2025</v>
      </c>
      <c r="F116" t="str">
        <f t="shared" si="7"/>
        <v>Jan</v>
      </c>
      <c r="G116" t="str">
        <f t="shared" si="8"/>
        <v>Sun</v>
      </c>
      <c r="H116" t="str">
        <f t="shared" si="12"/>
        <v>Weekend</v>
      </c>
      <c r="I116" s="2">
        <v>0.78125</v>
      </c>
      <c r="J116" s="2">
        <f t="shared" si="13"/>
        <v>0.78125</v>
      </c>
      <c r="K116" t="s">
        <v>282</v>
      </c>
      <c r="L116" t="s">
        <v>38</v>
      </c>
      <c r="M116" t="s">
        <v>45</v>
      </c>
      <c r="N116" t="s">
        <v>33</v>
      </c>
      <c r="O116" t="s">
        <v>21</v>
      </c>
      <c r="P116">
        <v>2</v>
      </c>
      <c r="Q116">
        <v>86</v>
      </c>
      <c r="R116">
        <v>172</v>
      </c>
      <c r="S116">
        <v>0</v>
      </c>
      <c r="T116">
        <v>172</v>
      </c>
      <c r="U116" t="s">
        <v>42</v>
      </c>
      <c r="V116">
        <v>16</v>
      </c>
      <c r="W116" t="s">
        <v>23</v>
      </c>
      <c r="X116">
        <v>2</v>
      </c>
    </row>
    <row r="117" spans="1:24" x14ac:dyDescent="0.3">
      <c r="A117" t="s">
        <v>283</v>
      </c>
      <c r="B117" s="1">
        <v>45668</v>
      </c>
      <c r="C117">
        <f t="shared" si="9"/>
        <v>11</v>
      </c>
      <c r="D117">
        <f t="shared" si="10"/>
        <v>1</v>
      </c>
      <c r="E117">
        <f t="shared" si="11"/>
        <v>2025</v>
      </c>
      <c r="F117" t="str">
        <f t="shared" si="7"/>
        <v>Jan</v>
      </c>
      <c r="G117" t="str">
        <f t="shared" si="8"/>
        <v>Sat</v>
      </c>
      <c r="H117" t="str">
        <f t="shared" si="12"/>
        <v>Weekend</v>
      </c>
      <c r="I117" s="2">
        <v>0.37847222222222221</v>
      </c>
      <c r="J117" s="2">
        <f t="shared" si="13"/>
        <v>0.37847222222222221</v>
      </c>
      <c r="K117" t="s">
        <v>284</v>
      </c>
      <c r="L117" t="s">
        <v>87</v>
      </c>
      <c r="M117" t="s">
        <v>45</v>
      </c>
      <c r="N117" t="s">
        <v>20</v>
      </c>
      <c r="O117" t="s">
        <v>21</v>
      </c>
      <c r="P117">
        <v>1</v>
      </c>
      <c r="Q117">
        <v>88</v>
      </c>
      <c r="R117">
        <v>88</v>
      </c>
      <c r="S117">
        <v>5</v>
      </c>
      <c r="T117">
        <v>83</v>
      </c>
      <c r="U117" t="s">
        <v>64</v>
      </c>
      <c r="V117">
        <v>12</v>
      </c>
      <c r="W117" t="s">
        <v>35</v>
      </c>
      <c r="X117">
        <v>1</v>
      </c>
    </row>
    <row r="118" spans="1:24" x14ac:dyDescent="0.3">
      <c r="A118" t="s">
        <v>285</v>
      </c>
      <c r="B118" s="1">
        <v>45659</v>
      </c>
      <c r="C118">
        <f t="shared" si="9"/>
        <v>2</v>
      </c>
      <c r="D118">
        <f t="shared" si="10"/>
        <v>1</v>
      </c>
      <c r="E118">
        <f t="shared" si="11"/>
        <v>2025</v>
      </c>
      <c r="F118" t="str">
        <f t="shared" si="7"/>
        <v>Jan</v>
      </c>
      <c r="G118" t="str">
        <f t="shared" si="8"/>
        <v>Thu</v>
      </c>
      <c r="H118" t="str">
        <f t="shared" si="12"/>
        <v>Weekday</v>
      </c>
      <c r="I118" s="2">
        <v>0.4375</v>
      </c>
      <c r="J118" s="2">
        <f t="shared" si="13"/>
        <v>0.4375</v>
      </c>
      <c r="K118" t="s">
        <v>286</v>
      </c>
      <c r="L118" t="s">
        <v>58</v>
      </c>
      <c r="M118" t="s">
        <v>59</v>
      </c>
      <c r="N118" t="s">
        <v>93</v>
      </c>
      <c r="O118" t="s">
        <v>94</v>
      </c>
      <c r="P118">
        <v>3</v>
      </c>
      <c r="Q118">
        <v>31</v>
      </c>
      <c r="R118">
        <v>93</v>
      </c>
      <c r="S118">
        <v>0</v>
      </c>
      <c r="T118">
        <v>93</v>
      </c>
      <c r="U118" t="s">
        <v>42</v>
      </c>
      <c r="V118">
        <v>57</v>
      </c>
      <c r="W118" t="s">
        <v>35</v>
      </c>
      <c r="X118">
        <v>2</v>
      </c>
    </row>
    <row r="119" spans="1:24" x14ac:dyDescent="0.3">
      <c r="A119" t="s">
        <v>287</v>
      </c>
      <c r="B119" s="1">
        <v>45660</v>
      </c>
      <c r="C119">
        <f t="shared" si="9"/>
        <v>3</v>
      </c>
      <c r="D119">
        <f t="shared" si="10"/>
        <v>1</v>
      </c>
      <c r="E119">
        <f t="shared" si="11"/>
        <v>2025</v>
      </c>
      <c r="F119" t="str">
        <f t="shared" si="7"/>
        <v>Jan</v>
      </c>
      <c r="G119" t="str">
        <f t="shared" si="8"/>
        <v>Fri</v>
      </c>
      <c r="H119" t="str">
        <f t="shared" si="12"/>
        <v>Weekday</v>
      </c>
      <c r="I119" s="2">
        <v>0.4375</v>
      </c>
      <c r="J119" s="2">
        <f t="shared" si="13"/>
        <v>0.4375</v>
      </c>
      <c r="K119" t="s">
        <v>288</v>
      </c>
      <c r="L119" t="s">
        <v>87</v>
      </c>
      <c r="M119" t="s">
        <v>39</v>
      </c>
      <c r="N119" t="s">
        <v>79</v>
      </c>
      <c r="O119" t="s">
        <v>80</v>
      </c>
      <c r="P119">
        <v>2</v>
      </c>
      <c r="Q119">
        <v>97</v>
      </c>
      <c r="R119">
        <v>194</v>
      </c>
      <c r="S119">
        <v>10</v>
      </c>
      <c r="T119">
        <v>184</v>
      </c>
      <c r="U119" t="s">
        <v>22</v>
      </c>
      <c r="V119">
        <v>45</v>
      </c>
      <c r="W119" t="s">
        <v>23</v>
      </c>
      <c r="X119">
        <v>3</v>
      </c>
    </row>
    <row r="120" spans="1:24" x14ac:dyDescent="0.3">
      <c r="A120" t="s">
        <v>289</v>
      </c>
      <c r="B120" s="1">
        <v>45666</v>
      </c>
      <c r="C120">
        <f t="shared" si="9"/>
        <v>9</v>
      </c>
      <c r="D120">
        <f t="shared" si="10"/>
        <v>1</v>
      </c>
      <c r="E120">
        <f t="shared" si="11"/>
        <v>2025</v>
      </c>
      <c r="F120" t="str">
        <f t="shared" si="7"/>
        <v>Jan</v>
      </c>
      <c r="G120" t="str">
        <f t="shared" si="8"/>
        <v>Thu</v>
      </c>
      <c r="H120" t="str">
        <f t="shared" si="12"/>
        <v>Weekday</v>
      </c>
      <c r="I120" s="2">
        <v>0.76041666666666663</v>
      </c>
      <c r="J120" s="2">
        <f t="shared" si="13"/>
        <v>0.76041666666666663</v>
      </c>
      <c r="K120" t="s">
        <v>290</v>
      </c>
      <c r="L120" t="s">
        <v>38</v>
      </c>
      <c r="M120" t="s">
        <v>59</v>
      </c>
      <c r="N120" t="s">
        <v>105</v>
      </c>
      <c r="O120" t="s">
        <v>106</v>
      </c>
      <c r="P120">
        <v>5</v>
      </c>
      <c r="Q120">
        <v>13</v>
      </c>
      <c r="R120">
        <v>65</v>
      </c>
      <c r="S120">
        <v>0</v>
      </c>
      <c r="T120">
        <v>65</v>
      </c>
      <c r="U120" t="s">
        <v>42</v>
      </c>
      <c r="V120">
        <v>40</v>
      </c>
      <c r="W120" t="s">
        <v>35</v>
      </c>
      <c r="X120">
        <v>2</v>
      </c>
    </row>
    <row r="121" spans="1:24" x14ac:dyDescent="0.3">
      <c r="A121" t="s">
        <v>291</v>
      </c>
      <c r="B121" s="1">
        <v>45660</v>
      </c>
      <c r="C121">
        <f t="shared" si="9"/>
        <v>3</v>
      </c>
      <c r="D121">
        <f t="shared" si="10"/>
        <v>1</v>
      </c>
      <c r="E121">
        <f t="shared" si="11"/>
        <v>2025</v>
      </c>
      <c r="F121" t="str">
        <f t="shared" si="7"/>
        <v>Jan</v>
      </c>
      <c r="G121" t="str">
        <f t="shared" si="8"/>
        <v>Fri</v>
      </c>
      <c r="H121" t="str">
        <f t="shared" si="12"/>
        <v>Weekday</v>
      </c>
      <c r="I121" s="2">
        <v>0.76041666666666663</v>
      </c>
      <c r="J121" s="2">
        <f t="shared" si="13"/>
        <v>0.76041666666666663</v>
      </c>
      <c r="K121" t="s">
        <v>292</v>
      </c>
      <c r="L121" t="s">
        <v>31</v>
      </c>
      <c r="M121" t="s">
        <v>59</v>
      </c>
      <c r="N121" t="s">
        <v>79</v>
      </c>
      <c r="O121" t="s">
        <v>80</v>
      </c>
      <c r="P121">
        <v>5</v>
      </c>
      <c r="Q121">
        <v>60</v>
      </c>
      <c r="R121">
        <v>300</v>
      </c>
      <c r="S121">
        <v>5</v>
      </c>
      <c r="T121">
        <v>295</v>
      </c>
      <c r="U121" t="s">
        <v>22</v>
      </c>
      <c r="V121">
        <v>27</v>
      </c>
      <c r="W121" t="s">
        <v>35</v>
      </c>
      <c r="X121">
        <v>2</v>
      </c>
    </row>
    <row r="122" spans="1:24" x14ac:dyDescent="0.3">
      <c r="A122" t="s">
        <v>293</v>
      </c>
      <c r="B122" s="1">
        <v>45658</v>
      </c>
      <c r="C122">
        <f t="shared" si="9"/>
        <v>1</v>
      </c>
      <c r="D122">
        <f t="shared" si="10"/>
        <v>1</v>
      </c>
      <c r="E122">
        <f t="shared" si="11"/>
        <v>2025</v>
      </c>
      <c r="F122" t="str">
        <f t="shared" si="7"/>
        <v>Jan</v>
      </c>
      <c r="G122" t="str">
        <f t="shared" si="8"/>
        <v>Wed</v>
      </c>
      <c r="H122" t="str">
        <f t="shared" si="12"/>
        <v>Weekday</v>
      </c>
      <c r="I122" s="2">
        <v>0.37847222222222221</v>
      </c>
      <c r="J122" s="2">
        <f t="shared" si="13"/>
        <v>0.37847222222222221</v>
      </c>
      <c r="K122" t="s">
        <v>294</v>
      </c>
      <c r="L122" t="s">
        <v>31</v>
      </c>
      <c r="M122" t="s">
        <v>78</v>
      </c>
      <c r="N122" t="s">
        <v>20</v>
      </c>
      <c r="O122" t="s">
        <v>21</v>
      </c>
      <c r="P122">
        <v>5</v>
      </c>
      <c r="Q122">
        <v>15</v>
      </c>
      <c r="R122">
        <v>75</v>
      </c>
      <c r="S122">
        <v>0</v>
      </c>
      <c r="T122">
        <v>75</v>
      </c>
      <c r="U122" t="s">
        <v>22</v>
      </c>
      <c r="V122">
        <v>27</v>
      </c>
      <c r="W122" t="s">
        <v>35</v>
      </c>
      <c r="X122">
        <v>4</v>
      </c>
    </row>
    <row r="123" spans="1:24" x14ac:dyDescent="0.3">
      <c r="A123" t="s">
        <v>295</v>
      </c>
      <c r="B123" s="1">
        <v>45664</v>
      </c>
      <c r="C123">
        <f t="shared" si="9"/>
        <v>7</v>
      </c>
      <c r="D123">
        <f t="shared" si="10"/>
        <v>1</v>
      </c>
      <c r="E123">
        <f t="shared" si="11"/>
        <v>2025</v>
      </c>
      <c r="F123" t="str">
        <f t="shared" si="7"/>
        <v>Jan</v>
      </c>
      <c r="G123" t="str">
        <f t="shared" si="8"/>
        <v>Tue</v>
      </c>
      <c r="H123" t="str">
        <f t="shared" si="12"/>
        <v>Weekday</v>
      </c>
      <c r="I123" s="2">
        <v>0.76041666666666663</v>
      </c>
      <c r="J123" s="2">
        <f t="shared" si="13"/>
        <v>0.76041666666666663</v>
      </c>
      <c r="K123" t="s">
        <v>296</v>
      </c>
      <c r="L123" t="s">
        <v>31</v>
      </c>
      <c r="M123" t="s">
        <v>45</v>
      </c>
      <c r="N123" t="s">
        <v>46</v>
      </c>
      <c r="O123" t="s">
        <v>28</v>
      </c>
      <c r="P123">
        <v>3</v>
      </c>
      <c r="Q123">
        <v>13</v>
      </c>
      <c r="R123">
        <v>39</v>
      </c>
      <c r="S123">
        <v>5</v>
      </c>
      <c r="T123">
        <v>34</v>
      </c>
      <c r="U123" t="s">
        <v>42</v>
      </c>
      <c r="V123">
        <v>34</v>
      </c>
      <c r="W123" t="s">
        <v>35</v>
      </c>
      <c r="X123">
        <v>3</v>
      </c>
    </row>
    <row r="124" spans="1:24" x14ac:dyDescent="0.3">
      <c r="A124" t="s">
        <v>297</v>
      </c>
      <c r="B124" s="1">
        <v>45668</v>
      </c>
      <c r="C124">
        <f t="shared" si="9"/>
        <v>11</v>
      </c>
      <c r="D124">
        <f t="shared" si="10"/>
        <v>1</v>
      </c>
      <c r="E124">
        <f t="shared" si="11"/>
        <v>2025</v>
      </c>
      <c r="F124" t="str">
        <f t="shared" si="7"/>
        <v>Jan</v>
      </c>
      <c r="G124" t="str">
        <f t="shared" si="8"/>
        <v>Sat</v>
      </c>
      <c r="H124" t="str">
        <f t="shared" si="12"/>
        <v>Weekend</v>
      </c>
      <c r="I124" s="2">
        <v>0.37847222222222221</v>
      </c>
      <c r="J124" s="2">
        <f t="shared" si="13"/>
        <v>0.37847222222222221</v>
      </c>
      <c r="K124" t="s">
        <v>298</v>
      </c>
      <c r="L124" t="s">
        <v>38</v>
      </c>
      <c r="M124" t="s">
        <v>26</v>
      </c>
      <c r="N124" t="s">
        <v>33</v>
      </c>
      <c r="O124" t="s">
        <v>21</v>
      </c>
      <c r="P124">
        <v>3</v>
      </c>
      <c r="Q124">
        <v>113</v>
      </c>
      <c r="R124">
        <v>339</v>
      </c>
      <c r="S124">
        <v>0</v>
      </c>
      <c r="T124">
        <v>339</v>
      </c>
      <c r="U124" t="s">
        <v>64</v>
      </c>
      <c r="V124">
        <v>26</v>
      </c>
      <c r="W124" t="s">
        <v>35</v>
      </c>
      <c r="X124">
        <v>2</v>
      </c>
    </row>
    <row r="125" spans="1:24" x14ac:dyDescent="0.3">
      <c r="A125" t="s">
        <v>299</v>
      </c>
      <c r="B125" s="1">
        <v>45662</v>
      </c>
      <c r="C125">
        <f t="shared" si="9"/>
        <v>5</v>
      </c>
      <c r="D125">
        <f t="shared" si="10"/>
        <v>1</v>
      </c>
      <c r="E125">
        <f t="shared" si="11"/>
        <v>2025</v>
      </c>
      <c r="F125" t="str">
        <f t="shared" si="7"/>
        <v>Jan</v>
      </c>
      <c r="G125" t="str">
        <f t="shared" si="8"/>
        <v>Sun</v>
      </c>
      <c r="H125" t="str">
        <f t="shared" si="12"/>
        <v>Weekend</v>
      </c>
      <c r="I125" s="2">
        <v>0.4375</v>
      </c>
      <c r="J125" s="2">
        <f t="shared" si="13"/>
        <v>0.4375</v>
      </c>
      <c r="K125" t="s">
        <v>300</v>
      </c>
      <c r="L125" t="s">
        <v>31</v>
      </c>
      <c r="M125" t="s">
        <v>39</v>
      </c>
      <c r="N125" t="s">
        <v>27</v>
      </c>
      <c r="O125" t="s">
        <v>28</v>
      </c>
      <c r="P125">
        <v>4</v>
      </c>
      <c r="Q125">
        <v>114</v>
      </c>
      <c r="R125">
        <v>456</v>
      </c>
      <c r="S125">
        <v>0</v>
      </c>
      <c r="T125">
        <v>456</v>
      </c>
      <c r="U125" t="s">
        <v>34</v>
      </c>
      <c r="V125">
        <v>47</v>
      </c>
      <c r="W125" t="s">
        <v>23</v>
      </c>
      <c r="X125">
        <v>5</v>
      </c>
    </row>
    <row r="126" spans="1:24" x14ac:dyDescent="0.3">
      <c r="A126" t="s">
        <v>301</v>
      </c>
      <c r="B126" s="1">
        <v>45664</v>
      </c>
      <c r="C126">
        <f t="shared" si="9"/>
        <v>7</v>
      </c>
      <c r="D126">
        <f t="shared" si="10"/>
        <v>1</v>
      </c>
      <c r="E126">
        <f t="shared" si="11"/>
        <v>2025</v>
      </c>
      <c r="F126" t="str">
        <f t="shared" si="7"/>
        <v>Jan</v>
      </c>
      <c r="G126" t="str">
        <f t="shared" si="8"/>
        <v>Tue</v>
      </c>
      <c r="H126" t="str">
        <f t="shared" si="12"/>
        <v>Weekday</v>
      </c>
      <c r="I126" s="2">
        <v>0.76041666666666663</v>
      </c>
      <c r="J126" s="2">
        <f t="shared" si="13"/>
        <v>0.76041666666666663</v>
      </c>
      <c r="K126" t="s">
        <v>302</v>
      </c>
      <c r="L126" t="s">
        <v>31</v>
      </c>
      <c r="M126" t="s">
        <v>69</v>
      </c>
      <c r="N126" t="s">
        <v>46</v>
      </c>
      <c r="O126" t="s">
        <v>28</v>
      </c>
      <c r="P126">
        <v>4</v>
      </c>
      <c r="Q126">
        <v>40</v>
      </c>
      <c r="R126">
        <v>160</v>
      </c>
      <c r="S126">
        <v>0</v>
      </c>
      <c r="T126">
        <v>160</v>
      </c>
      <c r="U126" t="s">
        <v>64</v>
      </c>
      <c r="V126">
        <v>22</v>
      </c>
      <c r="W126" t="s">
        <v>35</v>
      </c>
      <c r="X126">
        <v>0</v>
      </c>
    </row>
    <row r="127" spans="1:24" x14ac:dyDescent="0.3">
      <c r="A127" t="s">
        <v>303</v>
      </c>
      <c r="B127" s="1">
        <v>45667</v>
      </c>
      <c r="C127">
        <f t="shared" si="9"/>
        <v>10</v>
      </c>
      <c r="D127">
        <f t="shared" si="10"/>
        <v>1</v>
      </c>
      <c r="E127">
        <f t="shared" si="11"/>
        <v>2025</v>
      </c>
      <c r="F127" t="str">
        <f t="shared" si="7"/>
        <v>Jan</v>
      </c>
      <c r="G127" t="str">
        <f t="shared" si="8"/>
        <v>Fri</v>
      </c>
      <c r="H127" t="str">
        <f t="shared" si="12"/>
        <v>Weekday</v>
      </c>
      <c r="I127" s="2">
        <v>0.78125</v>
      </c>
      <c r="J127" s="2">
        <f t="shared" si="13"/>
        <v>0.78125</v>
      </c>
      <c r="K127" t="s">
        <v>304</v>
      </c>
      <c r="L127" t="s">
        <v>58</v>
      </c>
      <c r="M127" t="s">
        <v>78</v>
      </c>
      <c r="N127" t="s">
        <v>46</v>
      </c>
      <c r="O127" t="s">
        <v>28</v>
      </c>
      <c r="P127">
        <v>6</v>
      </c>
      <c r="Q127">
        <v>56</v>
      </c>
      <c r="R127">
        <v>336</v>
      </c>
      <c r="S127">
        <v>0</v>
      </c>
      <c r="T127">
        <v>336</v>
      </c>
      <c r="U127" t="s">
        <v>22</v>
      </c>
      <c r="V127">
        <v>15</v>
      </c>
      <c r="W127" t="s">
        <v>35</v>
      </c>
      <c r="X127">
        <v>0</v>
      </c>
    </row>
    <row r="128" spans="1:24" x14ac:dyDescent="0.3">
      <c r="A128" t="s">
        <v>305</v>
      </c>
      <c r="B128" s="1">
        <v>45661</v>
      </c>
      <c r="C128">
        <f t="shared" si="9"/>
        <v>4</v>
      </c>
      <c r="D128">
        <f t="shared" si="10"/>
        <v>1</v>
      </c>
      <c r="E128">
        <f t="shared" si="11"/>
        <v>2025</v>
      </c>
      <c r="F128" t="str">
        <f t="shared" si="7"/>
        <v>Jan</v>
      </c>
      <c r="G128" t="str">
        <f t="shared" si="8"/>
        <v>Sat</v>
      </c>
      <c r="H128" t="str">
        <f t="shared" si="12"/>
        <v>Weekend</v>
      </c>
      <c r="I128" s="2">
        <v>0.37847222222222221</v>
      </c>
      <c r="J128" s="2">
        <f t="shared" si="13"/>
        <v>0.37847222222222221</v>
      </c>
      <c r="K128" t="s">
        <v>306</v>
      </c>
      <c r="L128" t="s">
        <v>38</v>
      </c>
      <c r="M128" t="s">
        <v>32</v>
      </c>
      <c r="N128" t="s">
        <v>79</v>
      </c>
      <c r="O128" t="s">
        <v>80</v>
      </c>
      <c r="P128">
        <v>6</v>
      </c>
      <c r="Q128">
        <v>78</v>
      </c>
      <c r="R128">
        <v>468</v>
      </c>
      <c r="S128">
        <v>5</v>
      </c>
      <c r="T128">
        <v>463</v>
      </c>
      <c r="U128" t="s">
        <v>42</v>
      </c>
      <c r="V128">
        <v>22</v>
      </c>
      <c r="W128" t="s">
        <v>23</v>
      </c>
      <c r="X128">
        <v>1</v>
      </c>
    </row>
    <row r="129" spans="1:24" x14ac:dyDescent="0.3">
      <c r="A129" t="s">
        <v>307</v>
      </c>
      <c r="B129" s="1">
        <v>45660</v>
      </c>
      <c r="C129">
        <f t="shared" si="9"/>
        <v>3</v>
      </c>
      <c r="D129">
        <f t="shared" si="10"/>
        <v>1</v>
      </c>
      <c r="E129">
        <f t="shared" si="11"/>
        <v>2025</v>
      </c>
      <c r="F129" t="str">
        <f t="shared" si="7"/>
        <v>Jan</v>
      </c>
      <c r="G129" t="str">
        <f t="shared" si="8"/>
        <v>Fri</v>
      </c>
      <c r="H129" t="str">
        <f t="shared" si="12"/>
        <v>Weekday</v>
      </c>
      <c r="I129" s="2">
        <v>0.4375</v>
      </c>
      <c r="J129" s="2">
        <f t="shared" si="13"/>
        <v>0.4375</v>
      </c>
      <c r="K129" t="s">
        <v>308</v>
      </c>
      <c r="L129" t="s">
        <v>52</v>
      </c>
      <c r="M129" t="s">
        <v>59</v>
      </c>
      <c r="N129" t="s">
        <v>40</v>
      </c>
      <c r="O129" t="s">
        <v>1060</v>
      </c>
      <c r="P129">
        <v>1</v>
      </c>
      <c r="Q129">
        <v>32</v>
      </c>
      <c r="R129">
        <v>32</v>
      </c>
      <c r="S129">
        <v>10</v>
      </c>
      <c r="T129">
        <v>22</v>
      </c>
      <c r="U129" t="s">
        <v>22</v>
      </c>
      <c r="V129">
        <v>18</v>
      </c>
      <c r="W129" t="s">
        <v>35</v>
      </c>
      <c r="X129">
        <v>3</v>
      </c>
    </row>
    <row r="130" spans="1:24" x14ac:dyDescent="0.3">
      <c r="A130" t="s">
        <v>309</v>
      </c>
      <c r="B130" s="1">
        <v>45659</v>
      </c>
      <c r="C130">
        <f t="shared" si="9"/>
        <v>2</v>
      </c>
      <c r="D130">
        <f t="shared" si="10"/>
        <v>1</v>
      </c>
      <c r="E130">
        <f t="shared" si="11"/>
        <v>2025</v>
      </c>
      <c r="F130" t="str">
        <f t="shared" ref="F130:F193" si="14">TEXT(B130,"mmm")</f>
        <v>Jan</v>
      </c>
      <c r="G130" t="str">
        <f t="shared" ref="G130:G193" si="15">TEXT(B130,"ddd")</f>
        <v>Thu</v>
      </c>
      <c r="H130" t="str">
        <f t="shared" si="12"/>
        <v>Weekday</v>
      </c>
      <c r="I130" s="2">
        <v>0.76041666666666663</v>
      </c>
      <c r="J130" s="2">
        <f t="shared" si="13"/>
        <v>0.76041666666666663</v>
      </c>
      <c r="K130" t="s">
        <v>310</v>
      </c>
      <c r="L130" t="s">
        <v>31</v>
      </c>
      <c r="M130" t="s">
        <v>19</v>
      </c>
      <c r="N130" t="s">
        <v>93</v>
      </c>
      <c r="O130" t="s">
        <v>94</v>
      </c>
      <c r="P130">
        <v>1</v>
      </c>
      <c r="Q130">
        <v>44</v>
      </c>
      <c r="R130">
        <v>44</v>
      </c>
      <c r="S130">
        <v>0</v>
      </c>
      <c r="T130">
        <v>44</v>
      </c>
      <c r="U130" t="s">
        <v>22</v>
      </c>
      <c r="V130">
        <v>21</v>
      </c>
      <c r="W130" t="s">
        <v>35</v>
      </c>
      <c r="X130">
        <v>1</v>
      </c>
    </row>
    <row r="131" spans="1:24" x14ac:dyDescent="0.3">
      <c r="A131" t="s">
        <v>311</v>
      </c>
      <c r="B131" s="1">
        <v>45663</v>
      </c>
      <c r="C131">
        <f t="shared" ref="C131:C194" si="16">DAY(B131)</f>
        <v>6</v>
      </c>
      <c r="D131">
        <f t="shared" ref="D131:D194" si="17">MONTH(B131)</f>
        <v>1</v>
      </c>
      <c r="E131">
        <f t="shared" ref="E131:E194" si="18">YEAR(B131)</f>
        <v>2025</v>
      </c>
      <c r="F131" t="str">
        <f t="shared" si="14"/>
        <v>Jan</v>
      </c>
      <c r="G131" t="str">
        <f t="shared" si="15"/>
        <v>Mon</v>
      </c>
      <c r="H131" t="str">
        <f t="shared" ref="H131:H194" si="19">IF(OR(G131="sat",G131="sun"),"Weekend","Weekday")</f>
        <v>Weekday</v>
      </c>
      <c r="I131" s="2">
        <v>0.78125</v>
      </c>
      <c r="J131" s="2">
        <f t="shared" ref="J131:J194" si="20">IF(ISNUMBER(I131),I131,IFERROR(TIMEVALUE(I131),TIMEVALUE(SUBSTITUTE(I131,".",":"))))</f>
        <v>0.78125</v>
      </c>
      <c r="K131" t="s">
        <v>312</v>
      </c>
      <c r="L131" t="s">
        <v>87</v>
      </c>
      <c r="M131" t="s">
        <v>32</v>
      </c>
      <c r="N131" t="s">
        <v>46</v>
      </c>
      <c r="O131" t="s">
        <v>28</v>
      </c>
      <c r="P131">
        <v>3</v>
      </c>
      <c r="Q131">
        <v>103</v>
      </c>
      <c r="R131">
        <v>309</v>
      </c>
      <c r="S131">
        <v>0</v>
      </c>
      <c r="T131">
        <v>309</v>
      </c>
      <c r="U131" t="s">
        <v>22</v>
      </c>
      <c r="V131">
        <v>10</v>
      </c>
      <c r="W131" t="s">
        <v>35</v>
      </c>
      <c r="X131">
        <v>2</v>
      </c>
    </row>
    <row r="132" spans="1:24" x14ac:dyDescent="0.3">
      <c r="A132" t="s">
        <v>313</v>
      </c>
      <c r="B132" s="1">
        <v>45662</v>
      </c>
      <c r="C132">
        <f t="shared" si="16"/>
        <v>5</v>
      </c>
      <c r="D132">
        <f t="shared" si="17"/>
        <v>1</v>
      </c>
      <c r="E132">
        <f t="shared" si="18"/>
        <v>2025</v>
      </c>
      <c r="F132" t="str">
        <f t="shared" si="14"/>
        <v>Jan</v>
      </c>
      <c r="G132" t="str">
        <f t="shared" si="15"/>
        <v>Sun</v>
      </c>
      <c r="H132" t="str">
        <f t="shared" si="19"/>
        <v>Weekend</v>
      </c>
      <c r="I132" s="2">
        <v>0.78125</v>
      </c>
      <c r="J132" s="2">
        <f t="shared" si="20"/>
        <v>0.78125</v>
      </c>
      <c r="K132" t="s">
        <v>314</v>
      </c>
      <c r="L132" t="s">
        <v>90</v>
      </c>
      <c r="M132" t="s">
        <v>78</v>
      </c>
      <c r="N132" t="s">
        <v>20</v>
      </c>
      <c r="O132" t="s">
        <v>21</v>
      </c>
      <c r="P132">
        <v>4</v>
      </c>
      <c r="Q132">
        <v>118</v>
      </c>
      <c r="R132">
        <v>472</v>
      </c>
      <c r="S132">
        <v>0</v>
      </c>
      <c r="T132">
        <v>472</v>
      </c>
      <c r="U132" t="s">
        <v>64</v>
      </c>
      <c r="V132">
        <v>28</v>
      </c>
      <c r="W132" t="s">
        <v>35</v>
      </c>
      <c r="X132">
        <v>0</v>
      </c>
    </row>
    <row r="133" spans="1:24" x14ac:dyDescent="0.3">
      <c r="A133" t="s">
        <v>315</v>
      </c>
      <c r="B133" s="1">
        <v>45660</v>
      </c>
      <c r="C133">
        <f t="shared" si="16"/>
        <v>3</v>
      </c>
      <c r="D133">
        <f t="shared" si="17"/>
        <v>1</v>
      </c>
      <c r="E133">
        <f t="shared" si="18"/>
        <v>2025</v>
      </c>
      <c r="F133" t="str">
        <f t="shared" si="14"/>
        <v>Jan</v>
      </c>
      <c r="G133" t="str">
        <f t="shared" si="15"/>
        <v>Fri</v>
      </c>
      <c r="H133" t="str">
        <f t="shared" si="19"/>
        <v>Weekday</v>
      </c>
      <c r="I133" s="2">
        <v>0.4375</v>
      </c>
      <c r="J133" s="2">
        <f t="shared" si="20"/>
        <v>0.4375</v>
      </c>
      <c r="K133" t="s">
        <v>316</v>
      </c>
      <c r="L133" t="s">
        <v>58</v>
      </c>
      <c r="M133" t="s">
        <v>32</v>
      </c>
      <c r="N133" t="s">
        <v>20</v>
      </c>
      <c r="O133" t="s">
        <v>21</v>
      </c>
      <c r="P133">
        <v>6</v>
      </c>
      <c r="Q133">
        <v>104</v>
      </c>
      <c r="R133">
        <v>624</v>
      </c>
      <c r="S133">
        <v>0</v>
      </c>
      <c r="T133">
        <v>624</v>
      </c>
      <c r="U133" t="s">
        <v>64</v>
      </c>
      <c r="V133">
        <v>23</v>
      </c>
      <c r="W133" t="s">
        <v>35</v>
      </c>
      <c r="X133">
        <v>2</v>
      </c>
    </row>
    <row r="134" spans="1:24" x14ac:dyDescent="0.3">
      <c r="A134" t="s">
        <v>317</v>
      </c>
      <c r="B134" s="1">
        <v>45666</v>
      </c>
      <c r="C134">
        <f t="shared" si="16"/>
        <v>9</v>
      </c>
      <c r="D134">
        <f t="shared" si="17"/>
        <v>1</v>
      </c>
      <c r="E134">
        <f t="shared" si="18"/>
        <v>2025</v>
      </c>
      <c r="F134" t="str">
        <f t="shared" si="14"/>
        <v>Jan</v>
      </c>
      <c r="G134" t="str">
        <f t="shared" si="15"/>
        <v>Thu</v>
      </c>
      <c r="H134" t="str">
        <f t="shared" si="19"/>
        <v>Weekday</v>
      </c>
      <c r="I134" s="2">
        <v>0.4375</v>
      </c>
      <c r="J134" s="2">
        <f t="shared" si="20"/>
        <v>0.4375</v>
      </c>
      <c r="K134" t="s">
        <v>318</v>
      </c>
      <c r="L134" t="s">
        <v>87</v>
      </c>
      <c r="M134" t="s">
        <v>78</v>
      </c>
      <c r="N134" t="s">
        <v>27</v>
      </c>
      <c r="O134" t="s">
        <v>28</v>
      </c>
      <c r="P134">
        <v>1</v>
      </c>
      <c r="Q134">
        <v>43</v>
      </c>
      <c r="R134">
        <v>43</v>
      </c>
      <c r="S134">
        <v>5</v>
      </c>
      <c r="T134">
        <v>38</v>
      </c>
      <c r="U134" t="s">
        <v>22</v>
      </c>
      <c r="V134">
        <v>59</v>
      </c>
      <c r="W134" t="s">
        <v>35</v>
      </c>
      <c r="X134">
        <v>4</v>
      </c>
    </row>
    <row r="135" spans="1:24" x14ac:dyDescent="0.3">
      <c r="A135" t="s">
        <v>319</v>
      </c>
      <c r="B135" s="1">
        <v>45667</v>
      </c>
      <c r="C135">
        <f t="shared" si="16"/>
        <v>10</v>
      </c>
      <c r="D135">
        <f t="shared" si="17"/>
        <v>1</v>
      </c>
      <c r="E135">
        <f t="shared" si="18"/>
        <v>2025</v>
      </c>
      <c r="F135" t="str">
        <f t="shared" si="14"/>
        <v>Jan</v>
      </c>
      <c r="G135" t="str">
        <f t="shared" si="15"/>
        <v>Fri</v>
      </c>
      <c r="H135" t="str">
        <f t="shared" si="19"/>
        <v>Weekday</v>
      </c>
      <c r="I135" s="2">
        <v>0.76041666666666663</v>
      </c>
      <c r="J135" s="2">
        <f t="shared" si="20"/>
        <v>0.76041666666666663</v>
      </c>
      <c r="K135" t="s">
        <v>320</v>
      </c>
      <c r="L135" t="s">
        <v>90</v>
      </c>
      <c r="M135" t="s">
        <v>26</v>
      </c>
      <c r="N135" t="s">
        <v>93</v>
      </c>
      <c r="O135" t="s">
        <v>94</v>
      </c>
      <c r="P135">
        <v>3</v>
      </c>
      <c r="Q135">
        <v>88</v>
      </c>
      <c r="R135">
        <v>264</v>
      </c>
      <c r="S135">
        <v>5</v>
      </c>
      <c r="T135">
        <v>259</v>
      </c>
      <c r="U135" t="s">
        <v>34</v>
      </c>
      <c r="V135">
        <v>51</v>
      </c>
      <c r="W135" t="s">
        <v>35</v>
      </c>
      <c r="X135">
        <v>2</v>
      </c>
    </row>
    <row r="136" spans="1:24" x14ac:dyDescent="0.3">
      <c r="A136" t="s">
        <v>321</v>
      </c>
      <c r="B136" s="1">
        <v>45662</v>
      </c>
      <c r="C136">
        <f t="shared" si="16"/>
        <v>5</v>
      </c>
      <c r="D136">
        <f t="shared" si="17"/>
        <v>1</v>
      </c>
      <c r="E136">
        <f t="shared" si="18"/>
        <v>2025</v>
      </c>
      <c r="F136" t="str">
        <f t="shared" si="14"/>
        <v>Jan</v>
      </c>
      <c r="G136" t="str">
        <f t="shared" si="15"/>
        <v>Sun</v>
      </c>
      <c r="H136" t="str">
        <f t="shared" si="19"/>
        <v>Weekend</v>
      </c>
      <c r="I136" s="2">
        <v>0.37847222222222221</v>
      </c>
      <c r="J136" s="2">
        <f t="shared" si="20"/>
        <v>0.37847222222222221</v>
      </c>
      <c r="K136" t="s">
        <v>322</v>
      </c>
      <c r="L136" t="s">
        <v>31</v>
      </c>
      <c r="M136" t="s">
        <v>59</v>
      </c>
      <c r="N136" t="s">
        <v>55</v>
      </c>
      <c r="O136" t="s">
        <v>21</v>
      </c>
      <c r="P136">
        <v>5</v>
      </c>
      <c r="Q136">
        <v>21</v>
      </c>
      <c r="R136">
        <v>115</v>
      </c>
      <c r="S136">
        <v>5</v>
      </c>
      <c r="T136">
        <v>100</v>
      </c>
      <c r="U136" t="s">
        <v>64</v>
      </c>
      <c r="V136">
        <v>47</v>
      </c>
      <c r="W136" t="s">
        <v>23</v>
      </c>
      <c r="X136">
        <v>2</v>
      </c>
    </row>
    <row r="137" spans="1:24" x14ac:dyDescent="0.3">
      <c r="A137" t="s">
        <v>323</v>
      </c>
      <c r="B137" s="1">
        <v>45661</v>
      </c>
      <c r="C137">
        <f t="shared" si="16"/>
        <v>4</v>
      </c>
      <c r="D137">
        <f t="shared" si="17"/>
        <v>1</v>
      </c>
      <c r="E137">
        <f t="shared" si="18"/>
        <v>2025</v>
      </c>
      <c r="F137" t="str">
        <f t="shared" si="14"/>
        <v>Jan</v>
      </c>
      <c r="G137" t="str">
        <f t="shared" si="15"/>
        <v>Sat</v>
      </c>
      <c r="H137" t="str">
        <f t="shared" si="19"/>
        <v>Weekend</v>
      </c>
      <c r="I137" s="2">
        <v>0.4375</v>
      </c>
      <c r="J137" s="2">
        <f t="shared" si="20"/>
        <v>0.4375</v>
      </c>
      <c r="K137" t="s">
        <v>324</v>
      </c>
      <c r="L137" t="s">
        <v>31</v>
      </c>
      <c r="M137" t="s">
        <v>19</v>
      </c>
      <c r="N137" t="s">
        <v>93</v>
      </c>
      <c r="O137" t="s">
        <v>94</v>
      </c>
      <c r="P137">
        <v>2</v>
      </c>
      <c r="Q137">
        <v>34</v>
      </c>
      <c r="R137">
        <v>68</v>
      </c>
      <c r="S137">
        <v>5</v>
      </c>
      <c r="T137">
        <v>63</v>
      </c>
      <c r="U137" t="s">
        <v>64</v>
      </c>
      <c r="V137">
        <v>27</v>
      </c>
      <c r="W137" t="s">
        <v>35</v>
      </c>
      <c r="X137">
        <v>0</v>
      </c>
    </row>
    <row r="138" spans="1:24" x14ac:dyDescent="0.3">
      <c r="A138" t="s">
        <v>325</v>
      </c>
      <c r="B138" s="1">
        <v>45663</v>
      </c>
      <c r="C138">
        <f t="shared" si="16"/>
        <v>6</v>
      </c>
      <c r="D138">
        <f t="shared" si="17"/>
        <v>1</v>
      </c>
      <c r="E138">
        <f t="shared" si="18"/>
        <v>2025</v>
      </c>
      <c r="F138" t="str">
        <f t="shared" si="14"/>
        <v>Jan</v>
      </c>
      <c r="G138" t="str">
        <f t="shared" si="15"/>
        <v>Mon</v>
      </c>
      <c r="H138" t="str">
        <f t="shared" si="19"/>
        <v>Weekday</v>
      </c>
      <c r="I138" s="2">
        <v>0.4375</v>
      </c>
      <c r="J138" s="2">
        <f t="shared" si="20"/>
        <v>0.4375</v>
      </c>
      <c r="K138" t="s">
        <v>326</v>
      </c>
      <c r="L138" t="s">
        <v>31</v>
      </c>
      <c r="M138" t="s">
        <v>26</v>
      </c>
      <c r="N138" t="s">
        <v>46</v>
      </c>
      <c r="O138" t="s">
        <v>28</v>
      </c>
      <c r="P138">
        <v>4</v>
      </c>
      <c r="Q138">
        <v>11</v>
      </c>
      <c r="R138">
        <v>44</v>
      </c>
      <c r="S138">
        <v>0</v>
      </c>
      <c r="T138">
        <v>44</v>
      </c>
      <c r="U138" t="s">
        <v>64</v>
      </c>
      <c r="V138">
        <v>43</v>
      </c>
      <c r="W138" t="s">
        <v>35</v>
      </c>
      <c r="X138">
        <v>1</v>
      </c>
    </row>
    <row r="139" spans="1:24" x14ac:dyDescent="0.3">
      <c r="A139" t="s">
        <v>327</v>
      </c>
      <c r="B139" s="1">
        <v>45658</v>
      </c>
      <c r="C139">
        <f t="shared" si="16"/>
        <v>1</v>
      </c>
      <c r="D139">
        <f t="shared" si="17"/>
        <v>1</v>
      </c>
      <c r="E139">
        <f t="shared" si="18"/>
        <v>2025</v>
      </c>
      <c r="F139" t="str">
        <f t="shared" si="14"/>
        <v>Jan</v>
      </c>
      <c r="G139" t="str">
        <f t="shared" si="15"/>
        <v>Wed</v>
      </c>
      <c r="H139" t="str">
        <f t="shared" si="19"/>
        <v>Weekday</v>
      </c>
      <c r="I139" s="2">
        <v>0.78125</v>
      </c>
      <c r="J139" s="2">
        <f t="shared" si="20"/>
        <v>0.78125</v>
      </c>
      <c r="K139" t="s">
        <v>328</v>
      </c>
      <c r="L139" t="s">
        <v>87</v>
      </c>
      <c r="M139" t="s">
        <v>19</v>
      </c>
      <c r="N139" t="s">
        <v>105</v>
      </c>
      <c r="O139" t="s">
        <v>106</v>
      </c>
      <c r="P139">
        <v>4</v>
      </c>
      <c r="Q139">
        <v>53</v>
      </c>
      <c r="R139">
        <v>212</v>
      </c>
      <c r="S139">
        <v>5</v>
      </c>
      <c r="T139">
        <v>207</v>
      </c>
      <c r="U139" t="s">
        <v>34</v>
      </c>
      <c r="V139">
        <v>15</v>
      </c>
      <c r="W139" t="s">
        <v>35</v>
      </c>
      <c r="X139">
        <v>5</v>
      </c>
    </row>
    <row r="140" spans="1:24" x14ac:dyDescent="0.3">
      <c r="A140" t="s">
        <v>329</v>
      </c>
      <c r="B140" s="1">
        <v>45665</v>
      </c>
      <c r="C140">
        <f t="shared" si="16"/>
        <v>8</v>
      </c>
      <c r="D140">
        <f t="shared" si="17"/>
        <v>1</v>
      </c>
      <c r="E140">
        <f t="shared" si="18"/>
        <v>2025</v>
      </c>
      <c r="F140" t="str">
        <f t="shared" si="14"/>
        <v>Jan</v>
      </c>
      <c r="G140" t="str">
        <f t="shared" si="15"/>
        <v>Wed</v>
      </c>
      <c r="H140" t="str">
        <f t="shared" si="19"/>
        <v>Weekday</v>
      </c>
      <c r="I140" s="2">
        <v>0.4375</v>
      </c>
      <c r="J140" s="2">
        <f t="shared" si="20"/>
        <v>0.4375</v>
      </c>
      <c r="K140" t="s">
        <v>330</v>
      </c>
      <c r="L140" t="s">
        <v>31</v>
      </c>
      <c r="M140" t="s">
        <v>69</v>
      </c>
      <c r="N140" t="s">
        <v>27</v>
      </c>
      <c r="O140" t="s">
        <v>28</v>
      </c>
      <c r="P140">
        <v>3</v>
      </c>
      <c r="Q140">
        <v>118</v>
      </c>
      <c r="R140">
        <v>354</v>
      </c>
      <c r="S140">
        <v>5</v>
      </c>
      <c r="T140">
        <v>349</v>
      </c>
      <c r="U140" t="s">
        <v>34</v>
      </c>
      <c r="V140">
        <v>23</v>
      </c>
      <c r="W140" t="s">
        <v>35</v>
      </c>
      <c r="X140">
        <v>3</v>
      </c>
    </row>
    <row r="141" spans="1:24" x14ac:dyDescent="0.3">
      <c r="A141" t="s">
        <v>331</v>
      </c>
      <c r="B141" s="1">
        <v>45660</v>
      </c>
      <c r="C141">
        <f t="shared" si="16"/>
        <v>3</v>
      </c>
      <c r="D141">
        <f t="shared" si="17"/>
        <v>1</v>
      </c>
      <c r="E141">
        <f t="shared" si="18"/>
        <v>2025</v>
      </c>
      <c r="F141" t="str">
        <f t="shared" si="14"/>
        <v>Jan</v>
      </c>
      <c r="G141" t="str">
        <f t="shared" si="15"/>
        <v>Fri</v>
      </c>
      <c r="H141" t="str">
        <f t="shared" si="19"/>
        <v>Weekday</v>
      </c>
      <c r="I141" s="2">
        <v>0.4375</v>
      </c>
      <c r="J141" s="2">
        <f t="shared" si="20"/>
        <v>0.4375</v>
      </c>
      <c r="K141" t="s">
        <v>332</v>
      </c>
      <c r="L141" t="s">
        <v>38</v>
      </c>
      <c r="M141" t="s">
        <v>78</v>
      </c>
      <c r="N141" t="s">
        <v>33</v>
      </c>
      <c r="O141" t="s">
        <v>21</v>
      </c>
      <c r="P141">
        <v>4</v>
      </c>
      <c r="Q141">
        <v>15</v>
      </c>
      <c r="R141">
        <v>60</v>
      </c>
      <c r="S141">
        <v>5</v>
      </c>
      <c r="T141">
        <v>55</v>
      </c>
      <c r="U141" t="s">
        <v>42</v>
      </c>
      <c r="V141">
        <v>40</v>
      </c>
      <c r="W141" t="s">
        <v>35</v>
      </c>
      <c r="X141">
        <v>4</v>
      </c>
    </row>
    <row r="142" spans="1:24" x14ac:dyDescent="0.3">
      <c r="A142" t="s">
        <v>333</v>
      </c>
      <c r="B142" s="1">
        <v>45661</v>
      </c>
      <c r="C142">
        <f t="shared" si="16"/>
        <v>4</v>
      </c>
      <c r="D142">
        <f t="shared" si="17"/>
        <v>1</v>
      </c>
      <c r="E142">
        <f t="shared" si="18"/>
        <v>2025</v>
      </c>
      <c r="F142" t="str">
        <f t="shared" si="14"/>
        <v>Jan</v>
      </c>
      <c r="G142" t="str">
        <f t="shared" si="15"/>
        <v>Sat</v>
      </c>
      <c r="H142" t="str">
        <f t="shared" si="19"/>
        <v>Weekend</v>
      </c>
      <c r="I142" s="2">
        <v>0.76041666666666663</v>
      </c>
      <c r="J142" s="2">
        <f t="shared" si="20"/>
        <v>0.76041666666666663</v>
      </c>
      <c r="K142" t="s">
        <v>334</v>
      </c>
      <c r="L142" t="s">
        <v>58</v>
      </c>
      <c r="M142" t="s">
        <v>26</v>
      </c>
      <c r="N142" t="s">
        <v>46</v>
      </c>
      <c r="O142" t="s">
        <v>28</v>
      </c>
      <c r="P142">
        <v>2</v>
      </c>
      <c r="Q142">
        <v>102</v>
      </c>
      <c r="R142">
        <v>204</v>
      </c>
      <c r="S142">
        <v>0</v>
      </c>
      <c r="T142">
        <v>204</v>
      </c>
      <c r="U142" t="s">
        <v>22</v>
      </c>
      <c r="V142">
        <v>44</v>
      </c>
      <c r="W142" t="s">
        <v>23</v>
      </c>
      <c r="X142">
        <v>3</v>
      </c>
    </row>
    <row r="143" spans="1:24" x14ac:dyDescent="0.3">
      <c r="A143" t="s">
        <v>335</v>
      </c>
      <c r="B143" s="1">
        <v>45664</v>
      </c>
      <c r="C143">
        <f t="shared" si="16"/>
        <v>7</v>
      </c>
      <c r="D143">
        <f t="shared" si="17"/>
        <v>1</v>
      </c>
      <c r="E143">
        <f t="shared" si="18"/>
        <v>2025</v>
      </c>
      <c r="F143" t="str">
        <f t="shared" si="14"/>
        <v>Jan</v>
      </c>
      <c r="G143" t="str">
        <f t="shared" si="15"/>
        <v>Tue</v>
      </c>
      <c r="H143" t="str">
        <f t="shared" si="19"/>
        <v>Weekday</v>
      </c>
      <c r="I143" s="2">
        <v>0.78125</v>
      </c>
      <c r="J143" s="2">
        <f t="shared" si="20"/>
        <v>0.78125</v>
      </c>
      <c r="K143" t="s">
        <v>336</v>
      </c>
      <c r="L143" t="s">
        <v>52</v>
      </c>
      <c r="M143" t="s">
        <v>19</v>
      </c>
      <c r="N143" t="s">
        <v>93</v>
      </c>
      <c r="O143" t="s">
        <v>94</v>
      </c>
      <c r="P143">
        <v>1</v>
      </c>
      <c r="Q143">
        <v>35</v>
      </c>
      <c r="R143">
        <v>35</v>
      </c>
      <c r="S143">
        <v>10</v>
      </c>
      <c r="T143">
        <v>25</v>
      </c>
      <c r="U143" t="s">
        <v>64</v>
      </c>
      <c r="V143">
        <v>51</v>
      </c>
      <c r="W143" t="s">
        <v>23</v>
      </c>
      <c r="X143">
        <v>4</v>
      </c>
    </row>
    <row r="144" spans="1:24" x14ac:dyDescent="0.3">
      <c r="A144" t="s">
        <v>337</v>
      </c>
      <c r="B144" s="1">
        <v>45660</v>
      </c>
      <c r="C144">
        <f t="shared" si="16"/>
        <v>3</v>
      </c>
      <c r="D144">
        <f t="shared" si="17"/>
        <v>1</v>
      </c>
      <c r="E144">
        <f t="shared" si="18"/>
        <v>2025</v>
      </c>
      <c r="F144" t="str">
        <f t="shared" si="14"/>
        <v>Jan</v>
      </c>
      <c r="G144" t="str">
        <f t="shared" si="15"/>
        <v>Fri</v>
      </c>
      <c r="H144" t="str">
        <f t="shared" si="19"/>
        <v>Weekday</v>
      </c>
      <c r="I144" s="2">
        <v>0.76041666666666663</v>
      </c>
      <c r="J144" s="2">
        <f t="shared" si="20"/>
        <v>0.76041666666666663</v>
      </c>
      <c r="K144" t="s">
        <v>338</v>
      </c>
      <c r="L144" t="s">
        <v>58</v>
      </c>
      <c r="M144" t="s">
        <v>32</v>
      </c>
      <c r="N144" t="s">
        <v>40</v>
      </c>
      <c r="O144" t="s">
        <v>41</v>
      </c>
      <c r="P144">
        <v>4</v>
      </c>
      <c r="Q144">
        <v>23</v>
      </c>
      <c r="R144">
        <v>102</v>
      </c>
      <c r="S144">
        <v>0</v>
      </c>
      <c r="T144">
        <v>92</v>
      </c>
      <c r="U144" t="s">
        <v>42</v>
      </c>
      <c r="V144">
        <v>53</v>
      </c>
      <c r="W144" t="s">
        <v>23</v>
      </c>
      <c r="X144">
        <v>4</v>
      </c>
    </row>
    <row r="145" spans="1:24" x14ac:dyDescent="0.3">
      <c r="A145" t="s">
        <v>339</v>
      </c>
      <c r="B145" s="1">
        <v>45662</v>
      </c>
      <c r="C145">
        <f t="shared" si="16"/>
        <v>5</v>
      </c>
      <c r="D145">
        <f t="shared" si="17"/>
        <v>1</v>
      </c>
      <c r="E145">
        <f t="shared" si="18"/>
        <v>2025</v>
      </c>
      <c r="F145" t="str">
        <f t="shared" si="14"/>
        <v>Jan</v>
      </c>
      <c r="G145" t="str">
        <f t="shared" si="15"/>
        <v>Sun</v>
      </c>
      <c r="H145" t="str">
        <f t="shared" si="19"/>
        <v>Weekend</v>
      </c>
      <c r="I145" s="2">
        <v>0.4375</v>
      </c>
      <c r="J145" s="2">
        <f t="shared" si="20"/>
        <v>0.4375</v>
      </c>
      <c r="K145" t="s">
        <v>340</v>
      </c>
      <c r="L145" t="s">
        <v>58</v>
      </c>
      <c r="M145" t="s">
        <v>32</v>
      </c>
      <c r="N145" t="s">
        <v>40</v>
      </c>
      <c r="O145" t="s">
        <v>41</v>
      </c>
      <c r="P145">
        <v>6</v>
      </c>
      <c r="Q145">
        <v>64</v>
      </c>
      <c r="R145">
        <v>384</v>
      </c>
      <c r="S145">
        <v>10</v>
      </c>
      <c r="T145">
        <v>374</v>
      </c>
      <c r="U145" t="s">
        <v>64</v>
      </c>
      <c r="V145">
        <v>11</v>
      </c>
      <c r="W145" t="s">
        <v>23</v>
      </c>
      <c r="X145">
        <v>1</v>
      </c>
    </row>
    <row r="146" spans="1:24" x14ac:dyDescent="0.3">
      <c r="A146" t="s">
        <v>341</v>
      </c>
      <c r="B146" s="1">
        <v>45663</v>
      </c>
      <c r="C146">
        <f t="shared" si="16"/>
        <v>6</v>
      </c>
      <c r="D146">
        <f t="shared" si="17"/>
        <v>1</v>
      </c>
      <c r="E146">
        <f t="shared" si="18"/>
        <v>2025</v>
      </c>
      <c r="F146" t="str">
        <f t="shared" si="14"/>
        <v>Jan</v>
      </c>
      <c r="G146" t="str">
        <f t="shared" si="15"/>
        <v>Mon</v>
      </c>
      <c r="H146" t="str">
        <f t="shared" si="19"/>
        <v>Weekday</v>
      </c>
      <c r="I146" s="2">
        <v>0.37847222222222221</v>
      </c>
      <c r="J146" s="2">
        <f t="shared" si="20"/>
        <v>0.37847222222222221</v>
      </c>
      <c r="K146" t="s">
        <v>342</v>
      </c>
      <c r="L146" t="s">
        <v>49</v>
      </c>
      <c r="M146" t="s">
        <v>19</v>
      </c>
      <c r="N146" t="s">
        <v>79</v>
      </c>
      <c r="O146" t="s">
        <v>80</v>
      </c>
      <c r="P146">
        <v>4</v>
      </c>
      <c r="Q146">
        <v>107</v>
      </c>
      <c r="R146">
        <v>428</v>
      </c>
      <c r="S146">
        <v>0</v>
      </c>
      <c r="T146">
        <v>428</v>
      </c>
      <c r="U146" t="s">
        <v>64</v>
      </c>
      <c r="V146">
        <v>21</v>
      </c>
      <c r="W146" t="s">
        <v>23</v>
      </c>
      <c r="X146">
        <v>2</v>
      </c>
    </row>
    <row r="147" spans="1:24" x14ac:dyDescent="0.3">
      <c r="A147" t="s">
        <v>343</v>
      </c>
      <c r="B147" s="1">
        <v>45666</v>
      </c>
      <c r="C147">
        <f t="shared" si="16"/>
        <v>9</v>
      </c>
      <c r="D147">
        <f t="shared" si="17"/>
        <v>1</v>
      </c>
      <c r="E147">
        <f t="shared" si="18"/>
        <v>2025</v>
      </c>
      <c r="F147" t="str">
        <f t="shared" si="14"/>
        <v>Jan</v>
      </c>
      <c r="G147" t="str">
        <f t="shared" si="15"/>
        <v>Thu</v>
      </c>
      <c r="H147" t="str">
        <f t="shared" si="19"/>
        <v>Weekday</v>
      </c>
      <c r="I147" s="2">
        <v>0.4375</v>
      </c>
      <c r="J147" s="2">
        <f t="shared" si="20"/>
        <v>0.4375</v>
      </c>
      <c r="K147" t="s">
        <v>344</v>
      </c>
      <c r="L147" t="s">
        <v>52</v>
      </c>
      <c r="M147" t="s">
        <v>32</v>
      </c>
      <c r="N147" t="s">
        <v>40</v>
      </c>
      <c r="O147" t="s">
        <v>41</v>
      </c>
      <c r="P147">
        <v>6</v>
      </c>
      <c r="Q147">
        <v>26</v>
      </c>
      <c r="R147">
        <v>156</v>
      </c>
      <c r="S147">
        <v>0</v>
      </c>
      <c r="T147">
        <v>156</v>
      </c>
      <c r="U147" t="s">
        <v>64</v>
      </c>
      <c r="V147">
        <v>60</v>
      </c>
      <c r="W147" t="s">
        <v>23</v>
      </c>
      <c r="X147">
        <v>5</v>
      </c>
    </row>
    <row r="148" spans="1:24" x14ac:dyDescent="0.3">
      <c r="A148" t="s">
        <v>345</v>
      </c>
      <c r="B148" s="1">
        <v>45661</v>
      </c>
      <c r="C148">
        <f t="shared" si="16"/>
        <v>4</v>
      </c>
      <c r="D148">
        <f t="shared" si="17"/>
        <v>1</v>
      </c>
      <c r="E148">
        <f t="shared" si="18"/>
        <v>2025</v>
      </c>
      <c r="F148" t="str">
        <f t="shared" si="14"/>
        <v>Jan</v>
      </c>
      <c r="G148" t="str">
        <f t="shared" si="15"/>
        <v>Sat</v>
      </c>
      <c r="H148" t="str">
        <f t="shared" si="19"/>
        <v>Weekend</v>
      </c>
      <c r="I148" s="2">
        <v>0.37847222222222221</v>
      </c>
      <c r="J148" s="2">
        <f t="shared" si="20"/>
        <v>0.37847222222222221</v>
      </c>
      <c r="K148" t="s">
        <v>346</v>
      </c>
      <c r="L148" t="s">
        <v>52</v>
      </c>
      <c r="M148" t="s">
        <v>32</v>
      </c>
      <c r="N148" t="s">
        <v>105</v>
      </c>
      <c r="O148" t="s">
        <v>106</v>
      </c>
      <c r="P148">
        <v>6</v>
      </c>
      <c r="Q148">
        <v>28</v>
      </c>
      <c r="R148">
        <v>168</v>
      </c>
      <c r="S148">
        <v>5</v>
      </c>
      <c r="T148">
        <v>163</v>
      </c>
      <c r="U148" t="s">
        <v>22</v>
      </c>
      <c r="V148">
        <v>48</v>
      </c>
      <c r="W148" t="s">
        <v>35</v>
      </c>
      <c r="X148">
        <v>1</v>
      </c>
    </row>
    <row r="149" spans="1:24" x14ac:dyDescent="0.3">
      <c r="A149" t="s">
        <v>347</v>
      </c>
      <c r="B149" s="1">
        <v>45662</v>
      </c>
      <c r="C149">
        <f t="shared" si="16"/>
        <v>5</v>
      </c>
      <c r="D149">
        <f t="shared" si="17"/>
        <v>1</v>
      </c>
      <c r="E149">
        <f t="shared" si="18"/>
        <v>2025</v>
      </c>
      <c r="F149" t="str">
        <f t="shared" si="14"/>
        <v>Jan</v>
      </c>
      <c r="G149" t="str">
        <f t="shared" si="15"/>
        <v>Sun</v>
      </c>
      <c r="H149" t="str">
        <f t="shared" si="19"/>
        <v>Weekend</v>
      </c>
      <c r="I149" s="2">
        <v>0.78125</v>
      </c>
      <c r="J149" s="2">
        <f t="shared" si="20"/>
        <v>0.78125</v>
      </c>
      <c r="K149" t="s">
        <v>348</v>
      </c>
      <c r="L149" t="s">
        <v>31</v>
      </c>
      <c r="M149" t="s">
        <v>78</v>
      </c>
      <c r="N149" t="s">
        <v>40</v>
      </c>
      <c r="O149" t="s">
        <v>41</v>
      </c>
      <c r="P149">
        <v>5</v>
      </c>
      <c r="Q149">
        <v>68</v>
      </c>
      <c r="R149">
        <v>340</v>
      </c>
      <c r="S149">
        <v>5</v>
      </c>
      <c r="T149">
        <v>335</v>
      </c>
      <c r="U149" t="s">
        <v>34</v>
      </c>
      <c r="V149">
        <v>22</v>
      </c>
      <c r="W149" t="s">
        <v>23</v>
      </c>
      <c r="X149">
        <v>5</v>
      </c>
    </row>
    <row r="150" spans="1:24" x14ac:dyDescent="0.3">
      <c r="A150" t="s">
        <v>349</v>
      </c>
      <c r="B150" s="1">
        <v>45663</v>
      </c>
      <c r="C150">
        <f t="shared" si="16"/>
        <v>6</v>
      </c>
      <c r="D150">
        <f t="shared" si="17"/>
        <v>1</v>
      </c>
      <c r="E150">
        <f t="shared" si="18"/>
        <v>2025</v>
      </c>
      <c r="F150" t="str">
        <f t="shared" si="14"/>
        <v>Jan</v>
      </c>
      <c r="G150" t="str">
        <f t="shared" si="15"/>
        <v>Mon</v>
      </c>
      <c r="H150" t="str">
        <f t="shared" si="19"/>
        <v>Weekday</v>
      </c>
      <c r="I150" s="2">
        <v>0.76041666666666663</v>
      </c>
      <c r="J150" s="2">
        <f t="shared" si="20"/>
        <v>0.76041666666666663</v>
      </c>
      <c r="K150" t="s">
        <v>350</v>
      </c>
      <c r="L150" t="s">
        <v>52</v>
      </c>
      <c r="M150" t="s">
        <v>78</v>
      </c>
      <c r="N150" t="s">
        <v>105</v>
      </c>
      <c r="O150" t="s">
        <v>106</v>
      </c>
      <c r="P150">
        <v>2</v>
      </c>
      <c r="Q150">
        <v>103</v>
      </c>
      <c r="R150">
        <v>206</v>
      </c>
      <c r="S150">
        <v>0</v>
      </c>
      <c r="T150">
        <v>206</v>
      </c>
      <c r="U150" t="s">
        <v>34</v>
      </c>
      <c r="V150">
        <v>26</v>
      </c>
      <c r="W150" t="s">
        <v>23</v>
      </c>
      <c r="X150">
        <v>1</v>
      </c>
    </row>
    <row r="151" spans="1:24" x14ac:dyDescent="0.3">
      <c r="A151" t="s">
        <v>351</v>
      </c>
      <c r="B151" s="1">
        <v>45660</v>
      </c>
      <c r="C151">
        <f t="shared" si="16"/>
        <v>3</v>
      </c>
      <c r="D151">
        <f t="shared" si="17"/>
        <v>1</v>
      </c>
      <c r="E151">
        <f t="shared" si="18"/>
        <v>2025</v>
      </c>
      <c r="F151" t="str">
        <f t="shared" si="14"/>
        <v>Jan</v>
      </c>
      <c r="G151" t="str">
        <f t="shared" si="15"/>
        <v>Fri</v>
      </c>
      <c r="H151" t="str">
        <f t="shared" si="19"/>
        <v>Weekday</v>
      </c>
      <c r="I151" s="2">
        <v>0.78125</v>
      </c>
      <c r="J151" s="2">
        <f t="shared" si="20"/>
        <v>0.78125</v>
      </c>
      <c r="K151" t="s">
        <v>352</v>
      </c>
      <c r="L151" t="s">
        <v>31</v>
      </c>
      <c r="M151" t="s">
        <v>26</v>
      </c>
      <c r="N151" t="s">
        <v>79</v>
      </c>
      <c r="O151" t="s">
        <v>80</v>
      </c>
      <c r="P151">
        <v>1</v>
      </c>
      <c r="Q151">
        <v>16</v>
      </c>
      <c r="R151">
        <v>16</v>
      </c>
      <c r="S151">
        <v>0</v>
      </c>
      <c r="T151">
        <v>16</v>
      </c>
      <c r="U151" t="s">
        <v>64</v>
      </c>
      <c r="V151">
        <v>51</v>
      </c>
      <c r="W151" t="s">
        <v>23</v>
      </c>
      <c r="X151">
        <v>3</v>
      </c>
    </row>
    <row r="152" spans="1:24" x14ac:dyDescent="0.3">
      <c r="A152" t="s">
        <v>353</v>
      </c>
      <c r="B152" s="1">
        <v>45663</v>
      </c>
      <c r="C152">
        <f t="shared" si="16"/>
        <v>6</v>
      </c>
      <c r="D152">
        <f t="shared" si="17"/>
        <v>1</v>
      </c>
      <c r="E152">
        <f t="shared" si="18"/>
        <v>2025</v>
      </c>
      <c r="F152" t="str">
        <f t="shared" si="14"/>
        <v>Jan</v>
      </c>
      <c r="G152" t="str">
        <f t="shared" si="15"/>
        <v>Mon</v>
      </c>
      <c r="H152" t="str">
        <f t="shared" si="19"/>
        <v>Weekday</v>
      </c>
      <c r="I152" s="2">
        <v>0.78125</v>
      </c>
      <c r="J152" s="2">
        <f t="shared" si="20"/>
        <v>0.78125</v>
      </c>
      <c r="K152" t="s">
        <v>354</v>
      </c>
      <c r="L152" t="s">
        <v>38</v>
      </c>
      <c r="M152" t="s">
        <v>26</v>
      </c>
      <c r="N152" t="s">
        <v>46</v>
      </c>
      <c r="O152" t="s">
        <v>28</v>
      </c>
      <c r="P152">
        <v>1</v>
      </c>
      <c r="Q152">
        <v>71</v>
      </c>
      <c r="R152">
        <v>71</v>
      </c>
      <c r="S152">
        <v>0</v>
      </c>
      <c r="T152">
        <v>71</v>
      </c>
      <c r="U152" t="s">
        <v>34</v>
      </c>
      <c r="V152">
        <v>33</v>
      </c>
      <c r="W152" t="s">
        <v>35</v>
      </c>
      <c r="X152">
        <v>1</v>
      </c>
    </row>
    <row r="153" spans="1:24" x14ac:dyDescent="0.3">
      <c r="A153" t="s">
        <v>355</v>
      </c>
      <c r="B153" s="1">
        <v>45660</v>
      </c>
      <c r="C153">
        <f t="shared" si="16"/>
        <v>3</v>
      </c>
      <c r="D153">
        <f t="shared" si="17"/>
        <v>1</v>
      </c>
      <c r="E153">
        <f t="shared" si="18"/>
        <v>2025</v>
      </c>
      <c r="F153" t="str">
        <f t="shared" si="14"/>
        <v>Jan</v>
      </c>
      <c r="G153" t="str">
        <f t="shared" si="15"/>
        <v>Fri</v>
      </c>
      <c r="H153" t="str">
        <f t="shared" si="19"/>
        <v>Weekday</v>
      </c>
      <c r="I153" s="2">
        <v>0.76041666666666663</v>
      </c>
      <c r="J153" s="2">
        <f t="shared" si="20"/>
        <v>0.76041666666666663</v>
      </c>
      <c r="K153" t="s">
        <v>356</v>
      </c>
      <c r="L153" t="s">
        <v>52</v>
      </c>
      <c r="M153" t="s">
        <v>32</v>
      </c>
      <c r="N153" t="s">
        <v>55</v>
      </c>
      <c r="O153" t="s">
        <v>21</v>
      </c>
      <c r="P153">
        <v>4</v>
      </c>
      <c r="Q153">
        <v>67</v>
      </c>
      <c r="R153">
        <v>268</v>
      </c>
      <c r="S153">
        <v>5</v>
      </c>
      <c r="T153">
        <v>263</v>
      </c>
      <c r="U153" t="s">
        <v>64</v>
      </c>
      <c r="V153">
        <v>31</v>
      </c>
      <c r="W153" t="s">
        <v>35</v>
      </c>
      <c r="X153">
        <v>1</v>
      </c>
    </row>
    <row r="154" spans="1:24" x14ac:dyDescent="0.3">
      <c r="A154" t="s">
        <v>357</v>
      </c>
      <c r="B154" s="1">
        <v>45659</v>
      </c>
      <c r="C154">
        <f t="shared" si="16"/>
        <v>2</v>
      </c>
      <c r="D154">
        <f t="shared" si="17"/>
        <v>1</v>
      </c>
      <c r="E154">
        <f t="shared" si="18"/>
        <v>2025</v>
      </c>
      <c r="F154" t="str">
        <f t="shared" si="14"/>
        <v>Jan</v>
      </c>
      <c r="G154" t="str">
        <f t="shared" si="15"/>
        <v>Thu</v>
      </c>
      <c r="H154" t="str">
        <f t="shared" si="19"/>
        <v>Weekday</v>
      </c>
      <c r="I154" s="2">
        <v>0.78125</v>
      </c>
      <c r="J154" s="2">
        <f t="shared" si="20"/>
        <v>0.78125</v>
      </c>
      <c r="K154" t="s">
        <v>358</v>
      </c>
      <c r="L154" t="s">
        <v>52</v>
      </c>
      <c r="M154" t="s">
        <v>45</v>
      </c>
      <c r="N154" t="s">
        <v>33</v>
      </c>
      <c r="O154" t="s">
        <v>21</v>
      </c>
      <c r="P154">
        <v>2</v>
      </c>
      <c r="Q154">
        <v>101</v>
      </c>
      <c r="R154">
        <v>202</v>
      </c>
      <c r="S154">
        <v>0</v>
      </c>
      <c r="T154">
        <v>202</v>
      </c>
      <c r="U154" t="s">
        <v>64</v>
      </c>
      <c r="V154">
        <v>19</v>
      </c>
      <c r="W154" t="s">
        <v>23</v>
      </c>
      <c r="X154">
        <v>4</v>
      </c>
    </row>
    <row r="155" spans="1:24" x14ac:dyDescent="0.3">
      <c r="A155" t="s">
        <v>359</v>
      </c>
      <c r="B155" s="1">
        <v>45659</v>
      </c>
      <c r="C155">
        <f t="shared" si="16"/>
        <v>2</v>
      </c>
      <c r="D155">
        <f t="shared" si="17"/>
        <v>1</v>
      </c>
      <c r="E155">
        <f t="shared" si="18"/>
        <v>2025</v>
      </c>
      <c r="F155" t="str">
        <f t="shared" si="14"/>
        <v>Jan</v>
      </c>
      <c r="G155" t="str">
        <f t="shared" si="15"/>
        <v>Thu</v>
      </c>
      <c r="H155" t="str">
        <f t="shared" si="19"/>
        <v>Weekday</v>
      </c>
      <c r="I155" s="2">
        <v>0.4375</v>
      </c>
      <c r="J155" s="2">
        <f t="shared" si="20"/>
        <v>0.4375</v>
      </c>
      <c r="K155" t="s">
        <v>360</v>
      </c>
      <c r="L155" t="s">
        <v>58</v>
      </c>
      <c r="M155" t="s">
        <v>32</v>
      </c>
      <c r="N155" t="s">
        <v>105</v>
      </c>
      <c r="O155" t="s">
        <v>106</v>
      </c>
      <c r="P155">
        <v>4</v>
      </c>
      <c r="Q155">
        <v>33</v>
      </c>
      <c r="R155">
        <v>132</v>
      </c>
      <c r="S155">
        <v>5</v>
      </c>
      <c r="T155">
        <v>127</v>
      </c>
      <c r="U155" t="s">
        <v>64</v>
      </c>
      <c r="V155">
        <v>15</v>
      </c>
      <c r="W155" t="s">
        <v>23</v>
      </c>
      <c r="X155">
        <v>2</v>
      </c>
    </row>
    <row r="156" spans="1:24" x14ac:dyDescent="0.3">
      <c r="A156" t="s">
        <v>361</v>
      </c>
      <c r="B156" s="1">
        <v>45663</v>
      </c>
      <c r="C156">
        <f t="shared" si="16"/>
        <v>6</v>
      </c>
      <c r="D156">
        <f t="shared" si="17"/>
        <v>1</v>
      </c>
      <c r="E156">
        <f t="shared" si="18"/>
        <v>2025</v>
      </c>
      <c r="F156" t="str">
        <f t="shared" si="14"/>
        <v>Jan</v>
      </c>
      <c r="G156" t="str">
        <f t="shared" si="15"/>
        <v>Mon</v>
      </c>
      <c r="H156" t="str">
        <f t="shared" si="19"/>
        <v>Weekday</v>
      </c>
      <c r="I156" s="2">
        <v>0.78125</v>
      </c>
      <c r="J156" s="2">
        <f t="shared" si="20"/>
        <v>0.78125</v>
      </c>
      <c r="K156" t="s">
        <v>362</v>
      </c>
      <c r="L156" t="s">
        <v>52</v>
      </c>
      <c r="M156" t="s">
        <v>69</v>
      </c>
      <c r="N156" t="s">
        <v>93</v>
      </c>
      <c r="O156" t="s">
        <v>94</v>
      </c>
      <c r="P156">
        <v>4</v>
      </c>
      <c r="Q156">
        <v>113</v>
      </c>
      <c r="R156">
        <v>452</v>
      </c>
      <c r="S156">
        <v>0</v>
      </c>
      <c r="T156">
        <v>452</v>
      </c>
      <c r="U156" t="s">
        <v>64</v>
      </c>
      <c r="V156">
        <v>20</v>
      </c>
      <c r="W156" t="s">
        <v>35</v>
      </c>
      <c r="X156">
        <v>4</v>
      </c>
    </row>
    <row r="157" spans="1:24" x14ac:dyDescent="0.3">
      <c r="A157" t="s">
        <v>363</v>
      </c>
      <c r="B157" s="1">
        <v>45658</v>
      </c>
      <c r="C157">
        <f t="shared" si="16"/>
        <v>1</v>
      </c>
      <c r="D157">
        <f t="shared" si="17"/>
        <v>1</v>
      </c>
      <c r="E157">
        <f t="shared" si="18"/>
        <v>2025</v>
      </c>
      <c r="F157" t="str">
        <f t="shared" si="14"/>
        <v>Jan</v>
      </c>
      <c r="G157" t="str">
        <f t="shared" si="15"/>
        <v>Wed</v>
      </c>
      <c r="H157" t="str">
        <f t="shared" si="19"/>
        <v>Weekday</v>
      </c>
      <c r="I157" s="2">
        <v>0.37847222222222221</v>
      </c>
      <c r="J157" s="2">
        <f t="shared" si="20"/>
        <v>0.37847222222222221</v>
      </c>
      <c r="K157" t="s">
        <v>364</v>
      </c>
      <c r="L157" t="s">
        <v>90</v>
      </c>
      <c r="M157" t="s">
        <v>26</v>
      </c>
      <c r="N157" t="s">
        <v>46</v>
      </c>
      <c r="O157" t="s">
        <v>28</v>
      </c>
      <c r="P157">
        <v>2</v>
      </c>
      <c r="Q157">
        <v>44</v>
      </c>
      <c r="R157">
        <v>88</v>
      </c>
      <c r="S157">
        <v>10</v>
      </c>
      <c r="T157">
        <v>78</v>
      </c>
      <c r="U157" t="s">
        <v>42</v>
      </c>
      <c r="V157">
        <v>27</v>
      </c>
      <c r="W157" t="s">
        <v>35</v>
      </c>
      <c r="X157">
        <v>1</v>
      </c>
    </row>
    <row r="158" spans="1:24" x14ac:dyDescent="0.3">
      <c r="A158" t="s">
        <v>365</v>
      </c>
      <c r="B158" s="1">
        <v>45663</v>
      </c>
      <c r="C158">
        <f t="shared" si="16"/>
        <v>6</v>
      </c>
      <c r="D158">
        <f t="shared" si="17"/>
        <v>1</v>
      </c>
      <c r="E158">
        <f t="shared" si="18"/>
        <v>2025</v>
      </c>
      <c r="F158" t="str">
        <f t="shared" si="14"/>
        <v>Jan</v>
      </c>
      <c r="G158" t="str">
        <f t="shared" si="15"/>
        <v>Mon</v>
      </c>
      <c r="H158" t="str">
        <f t="shared" si="19"/>
        <v>Weekday</v>
      </c>
      <c r="I158" s="2">
        <v>0.76041666666666663</v>
      </c>
      <c r="J158" s="2">
        <f t="shared" si="20"/>
        <v>0.76041666666666663</v>
      </c>
      <c r="K158" t="s">
        <v>366</v>
      </c>
      <c r="L158" t="s">
        <v>31</v>
      </c>
      <c r="M158" t="s">
        <v>32</v>
      </c>
      <c r="N158" t="s">
        <v>27</v>
      </c>
      <c r="O158" t="s">
        <v>28</v>
      </c>
      <c r="P158">
        <v>1</v>
      </c>
      <c r="Q158">
        <v>79</v>
      </c>
      <c r="R158">
        <v>79</v>
      </c>
      <c r="S158">
        <v>10</v>
      </c>
      <c r="T158">
        <v>69</v>
      </c>
      <c r="U158" t="s">
        <v>34</v>
      </c>
      <c r="V158">
        <v>20</v>
      </c>
      <c r="W158" t="s">
        <v>35</v>
      </c>
      <c r="X158">
        <v>2</v>
      </c>
    </row>
    <row r="159" spans="1:24" x14ac:dyDescent="0.3">
      <c r="A159" t="s">
        <v>367</v>
      </c>
      <c r="B159" s="1">
        <v>45663</v>
      </c>
      <c r="C159">
        <f t="shared" si="16"/>
        <v>6</v>
      </c>
      <c r="D159">
        <f t="shared" si="17"/>
        <v>1</v>
      </c>
      <c r="E159">
        <f t="shared" si="18"/>
        <v>2025</v>
      </c>
      <c r="F159" t="str">
        <f t="shared" si="14"/>
        <v>Jan</v>
      </c>
      <c r="G159" t="str">
        <f t="shared" si="15"/>
        <v>Mon</v>
      </c>
      <c r="H159" t="str">
        <f t="shared" si="19"/>
        <v>Weekday</v>
      </c>
      <c r="I159" s="2">
        <v>0.37847222222222221</v>
      </c>
      <c r="J159" s="2">
        <f t="shared" si="20"/>
        <v>0.37847222222222221</v>
      </c>
      <c r="K159" t="s">
        <v>368</v>
      </c>
      <c r="L159" t="s">
        <v>31</v>
      </c>
      <c r="M159" t="s">
        <v>45</v>
      </c>
      <c r="N159" t="s">
        <v>79</v>
      </c>
      <c r="O159" t="s">
        <v>80</v>
      </c>
      <c r="P159">
        <v>1</v>
      </c>
      <c r="Q159">
        <v>15</v>
      </c>
      <c r="R159">
        <v>15</v>
      </c>
      <c r="S159">
        <v>5</v>
      </c>
      <c r="T159">
        <v>10</v>
      </c>
      <c r="U159" t="s">
        <v>64</v>
      </c>
      <c r="V159">
        <v>10</v>
      </c>
      <c r="W159" t="s">
        <v>35</v>
      </c>
      <c r="X159">
        <v>2</v>
      </c>
    </row>
    <row r="160" spans="1:24" x14ac:dyDescent="0.3">
      <c r="A160" t="s">
        <v>369</v>
      </c>
      <c r="B160" s="1">
        <v>45661</v>
      </c>
      <c r="C160">
        <f t="shared" si="16"/>
        <v>4</v>
      </c>
      <c r="D160">
        <f t="shared" si="17"/>
        <v>1</v>
      </c>
      <c r="E160">
        <f t="shared" si="18"/>
        <v>2025</v>
      </c>
      <c r="F160" t="str">
        <f t="shared" si="14"/>
        <v>Jan</v>
      </c>
      <c r="G160" t="str">
        <f t="shared" si="15"/>
        <v>Sat</v>
      </c>
      <c r="H160" t="str">
        <f t="shared" si="19"/>
        <v>Weekend</v>
      </c>
      <c r="I160" s="2">
        <v>0.78125</v>
      </c>
      <c r="J160" s="2">
        <f t="shared" si="20"/>
        <v>0.78125</v>
      </c>
      <c r="K160" t="s">
        <v>370</v>
      </c>
      <c r="L160" t="s">
        <v>90</v>
      </c>
      <c r="M160" t="s">
        <v>78</v>
      </c>
      <c r="N160" t="s">
        <v>93</v>
      </c>
      <c r="O160" t="s">
        <v>94</v>
      </c>
      <c r="P160">
        <v>1</v>
      </c>
      <c r="Q160">
        <v>91</v>
      </c>
      <c r="R160">
        <v>91</v>
      </c>
      <c r="S160">
        <v>10</v>
      </c>
      <c r="T160">
        <v>81</v>
      </c>
      <c r="U160" t="s">
        <v>64</v>
      </c>
      <c r="V160">
        <v>14</v>
      </c>
      <c r="W160" t="s">
        <v>23</v>
      </c>
      <c r="X160">
        <v>2</v>
      </c>
    </row>
    <row r="161" spans="1:24" x14ac:dyDescent="0.3">
      <c r="A161" t="s">
        <v>371</v>
      </c>
      <c r="B161" s="1">
        <v>45663</v>
      </c>
      <c r="C161">
        <f t="shared" si="16"/>
        <v>6</v>
      </c>
      <c r="D161">
        <f t="shared" si="17"/>
        <v>1</v>
      </c>
      <c r="E161">
        <f t="shared" si="18"/>
        <v>2025</v>
      </c>
      <c r="F161" t="str">
        <f t="shared" si="14"/>
        <v>Jan</v>
      </c>
      <c r="G161" t="str">
        <f t="shared" si="15"/>
        <v>Mon</v>
      </c>
      <c r="H161" t="str">
        <f t="shared" si="19"/>
        <v>Weekday</v>
      </c>
      <c r="I161" s="2">
        <v>0.76041666666666663</v>
      </c>
      <c r="J161" s="2">
        <f t="shared" si="20"/>
        <v>0.76041666666666663</v>
      </c>
      <c r="K161" t="s">
        <v>372</v>
      </c>
      <c r="L161" t="s">
        <v>31</v>
      </c>
      <c r="M161" t="s">
        <v>78</v>
      </c>
      <c r="N161" t="s">
        <v>40</v>
      </c>
      <c r="O161" t="s">
        <v>41</v>
      </c>
      <c r="P161">
        <v>5</v>
      </c>
      <c r="Q161">
        <v>63</v>
      </c>
      <c r="R161">
        <v>315</v>
      </c>
      <c r="S161">
        <v>0</v>
      </c>
      <c r="T161">
        <v>315</v>
      </c>
      <c r="U161" t="s">
        <v>34</v>
      </c>
      <c r="V161">
        <v>13</v>
      </c>
      <c r="W161" t="s">
        <v>35</v>
      </c>
      <c r="X161">
        <v>1</v>
      </c>
    </row>
    <row r="162" spans="1:24" x14ac:dyDescent="0.3">
      <c r="A162" t="s">
        <v>373</v>
      </c>
      <c r="B162" s="1">
        <v>45665</v>
      </c>
      <c r="C162">
        <f t="shared" si="16"/>
        <v>8</v>
      </c>
      <c r="D162">
        <f t="shared" si="17"/>
        <v>1</v>
      </c>
      <c r="E162">
        <f t="shared" si="18"/>
        <v>2025</v>
      </c>
      <c r="F162" t="str">
        <f t="shared" si="14"/>
        <v>Jan</v>
      </c>
      <c r="G162" t="str">
        <f t="shared" si="15"/>
        <v>Wed</v>
      </c>
      <c r="H162" t="str">
        <f t="shared" si="19"/>
        <v>Weekday</v>
      </c>
      <c r="I162" s="2">
        <v>0.4375</v>
      </c>
      <c r="J162" s="2">
        <f t="shared" si="20"/>
        <v>0.4375</v>
      </c>
      <c r="K162" t="s">
        <v>374</v>
      </c>
      <c r="L162" t="s">
        <v>87</v>
      </c>
      <c r="M162" t="s">
        <v>39</v>
      </c>
      <c r="N162" t="s">
        <v>105</v>
      </c>
      <c r="O162" t="s">
        <v>106</v>
      </c>
      <c r="P162">
        <v>2</v>
      </c>
      <c r="Q162">
        <v>104</v>
      </c>
      <c r="R162">
        <v>208</v>
      </c>
      <c r="S162">
        <v>5</v>
      </c>
      <c r="T162">
        <v>203</v>
      </c>
      <c r="U162" t="s">
        <v>64</v>
      </c>
      <c r="V162">
        <v>17</v>
      </c>
      <c r="W162" t="s">
        <v>23</v>
      </c>
      <c r="X162">
        <v>2</v>
      </c>
    </row>
    <row r="163" spans="1:24" x14ac:dyDescent="0.3">
      <c r="A163" t="s">
        <v>375</v>
      </c>
      <c r="B163" s="1">
        <v>45667</v>
      </c>
      <c r="C163">
        <f t="shared" si="16"/>
        <v>10</v>
      </c>
      <c r="D163">
        <f t="shared" si="17"/>
        <v>1</v>
      </c>
      <c r="E163">
        <f t="shared" si="18"/>
        <v>2025</v>
      </c>
      <c r="F163" t="str">
        <f t="shared" si="14"/>
        <v>Jan</v>
      </c>
      <c r="G163" t="str">
        <f t="shared" si="15"/>
        <v>Fri</v>
      </c>
      <c r="H163" t="str">
        <f t="shared" si="19"/>
        <v>Weekday</v>
      </c>
      <c r="I163" s="2">
        <v>0.4375</v>
      </c>
      <c r="J163" s="2">
        <f t="shared" si="20"/>
        <v>0.4375</v>
      </c>
      <c r="K163" t="s">
        <v>376</v>
      </c>
      <c r="L163" t="s">
        <v>52</v>
      </c>
      <c r="M163" t="s">
        <v>78</v>
      </c>
      <c r="N163" t="s">
        <v>105</v>
      </c>
      <c r="O163" t="s">
        <v>106</v>
      </c>
      <c r="P163">
        <v>2</v>
      </c>
      <c r="Q163">
        <v>44</v>
      </c>
      <c r="R163">
        <v>88</v>
      </c>
      <c r="S163">
        <v>5</v>
      </c>
      <c r="T163">
        <v>83</v>
      </c>
      <c r="U163" t="s">
        <v>34</v>
      </c>
      <c r="V163">
        <v>43</v>
      </c>
      <c r="W163" t="s">
        <v>23</v>
      </c>
      <c r="X163">
        <v>1</v>
      </c>
    </row>
    <row r="164" spans="1:24" x14ac:dyDescent="0.3">
      <c r="A164" t="s">
        <v>377</v>
      </c>
      <c r="B164" s="1">
        <v>45662</v>
      </c>
      <c r="C164">
        <f t="shared" si="16"/>
        <v>5</v>
      </c>
      <c r="D164">
        <f t="shared" si="17"/>
        <v>1</v>
      </c>
      <c r="E164">
        <f t="shared" si="18"/>
        <v>2025</v>
      </c>
      <c r="F164" t="str">
        <f t="shared" si="14"/>
        <v>Jan</v>
      </c>
      <c r="G164" t="str">
        <f t="shared" si="15"/>
        <v>Sun</v>
      </c>
      <c r="H164" t="str">
        <f t="shared" si="19"/>
        <v>Weekend</v>
      </c>
      <c r="I164" s="2">
        <v>0.78125</v>
      </c>
      <c r="J164" s="2">
        <f t="shared" si="20"/>
        <v>0.78125</v>
      </c>
      <c r="K164" t="s">
        <v>378</v>
      </c>
      <c r="L164" t="s">
        <v>87</v>
      </c>
      <c r="M164" t="s">
        <v>78</v>
      </c>
      <c r="N164" t="s">
        <v>33</v>
      </c>
      <c r="O164" t="s">
        <v>21</v>
      </c>
      <c r="P164">
        <v>6</v>
      </c>
      <c r="Q164">
        <v>120</v>
      </c>
      <c r="R164">
        <v>720</v>
      </c>
      <c r="S164">
        <v>5</v>
      </c>
      <c r="T164">
        <v>715</v>
      </c>
      <c r="U164" t="s">
        <v>22</v>
      </c>
      <c r="V164">
        <v>15</v>
      </c>
      <c r="W164" t="s">
        <v>35</v>
      </c>
      <c r="X164">
        <v>1</v>
      </c>
    </row>
    <row r="165" spans="1:24" x14ac:dyDescent="0.3">
      <c r="A165" t="s">
        <v>379</v>
      </c>
      <c r="B165" s="1">
        <v>45666</v>
      </c>
      <c r="C165">
        <f t="shared" si="16"/>
        <v>9</v>
      </c>
      <c r="D165">
        <f t="shared" si="17"/>
        <v>1</v>
      </c>
      <c r="E165">
        <f t="shared" si="18"/>
        <v>2025</v>
      </c>
      <c r="F165" t="str">
        <f t="shared" si="14"/>
        <v>Jan</v>
      </c>
      <c r="G165" t="str">
        <f t="shared" si="15"/>
        <v>Thu</v>
      </c>
      <c r="H165" t="str">
        <f t="shared" si="19"/>
        <v>Weekday</v>
      </c>
      <c r="I165" s="2">
        <v>0.4375</v>
      </c>
      <c r="J165" s="2">
        <f t="shared" si="20"/>
        <v>0.4375</v>
      </c>
      <c r="K165" t="s">
        <v>380</v>
      </c>
      <c r="L165" t="s">
        <v>31</v>
      </c>
      <c r="M165" t="s">
        <v>26</v>
      </c>
      <c r="N165" t="s">
        <v>46</v>
      </c>
      <c r="O165" t="s">
        <v>28</v>
      </c>
      <c r="P165">
        <v>1</v>
      </c>
      <c r="Q165">
        <v>80</v>
      </c>
      <c r="R165">
        <v>80</v>
      </c>
      <c r="S165">
        <v>0</v>
      </c>
      <c r="T165">
        <v>80</v>
      </c>
      <c r="U165" t="s">
        <v>22</v>
      </c>
      <c r="V165">
        <v>47</v>
      </c>
      <c r="W165" t="s">
        <v>35</v>
      </c>
      <c r="X165">
        <v>5</v>
      </c>
    </row>
    <row r="166" spans="1:24" x14ac:dyDescent="0.3">
      <c r="A166" t="s">
        <v>381</v>
      </c>
      <c r="B166" s="1">
        <v>45660</v>
      </c>
      <c r="C166">
        <f t="shared" si="16"/>
        <v>3</v>
      </c>
      <c r="D166">
        <f t="shared" si="17"/>
        <v>1</v>
      </c>
      <c r="E166">
        <f t="shared" si="18"/>
        <v>2025</v>
      </c>
      <c r="F166" t="str">
        <f t="shared" si="14"/>
        <v>Jan</v>
      </c>
      <c r="G166" t="str">
        <f t="shared" si="15"/>
        <v>Fri</v>
      </c>
      <c r="H166" t="str">
        <f t="shared" si="19"/>
        <v>Weekday</v>
      </c>
      <c r="I166" s="2">
        <v>0.4375</v>
      </c>
      <c r="J166" s="2">
        <f t="shared" si="20"/>
        <v>0.4375</v>
      </c>
      <c r="K166" t="s">
        <v>382</v>
      </c>
      <c r="L166" t="s">
        <v>38</v>
      </c>
      <c r="M166" t="s">
        <v>39</v>
      </c>
      <c r="N166" t="s">
        <v>40</v>
      </c>
      <c r="O166" t="s">
        <v>41</v>
      </c>
      <c r="P166">
        <v>5</v>
      </c>
      <c r="Q166">
        <v>79</v>
      </c>
      <c r="R166">
        <v>395</v>
      </c>
      <c r="S166">
        <v>5</v>
      </c>
      <c r="T166">
        <v>390</v>
      </c>
      <c r="U166" t="s">
        <v>64</v>
      </c>
      <c r="V166">
        <v>12</v>
      </c>
      <c r="W166" t="s">
        <v>23</v>
      </c>
      <c r="X166">
        <v>0</v>
      </c>
    </row>
    <row r="167" spans="1:24" x14ac:dyDescent="0.3">
      <c r="A167" t="s">
        <v>383</v>
      </c>
      <c r="B167" s="1">
        <v>45667</v>
      </c>
      <c r="C167">
        <f t="shared" si="16"/>
        <v>10</v>
      </c>
      <c r="D167">
        <f t="shared" si="17"/>
        <v>1</v>
      </c>
      <c r="E167">
        <f t="shared" si="18"/>
        <v>2025</v>
      </c>
      <c r="F167" t="str">
        <f t="shared" si="14"/>
        <v>Jan</v>
      </c>
      <c r="G167" t="str">
        <f t="shared" si="15"/>
        <v>Fri</v>
      </c>
      <c r="H167" t="str">
        <f t="shared" si="19"/>
        <v>Weekday</v>
      </c>
      <c r="I167" s="2">
        <v>0.78125</v>
      </c>
      <c r="J167" s="2">
        <f t="shared" si="20"/>
        <v>0.78125</v>
      </c>
      <c r="K167" t="s">
        <v>384</v>
      </c>
      <c r="L167" t="s">
        <v>31</v>
      </c>
      <c r="M167" t="s">
        <v>26</v>
      </c>
      <c r="N167" t="s">
        <v>46</v>
      </c>
      <c r="O167" t="s">
        <v>28</v>
      </c>
      <c r="P167">
        <v>1</v>
      </c>
      <c r="Q167">
        <v>112</v>
      </c>
      <c r="R167">
        <v>112</v>
      </c>
      <c r="S167">
        <v>0</v>
      </c>
      <c r="T167">
        <v>112</v>
      </c>
      <c r="U167" t="s">
        <v>64</v>
      </c>
      <c r="V167">
        <v>28</v>
      </c>
      <c r="W167" t="s">
        <v>23</v>
      </c>
      <c r="X167">
        <v>5</v>
      </c>
    </row>
    <row r="168" spans="1:24" x14ac:dyDescent="0.3">
      <c r="A168" t="s">
        <v>385</v>
      </c>
      <c r="B168" s="1">
        <v>45662</v>
      </c>
      <c r="C168">
        <f t="shared" si="16"/>
        <v>5</v>
      </c>
      <c r="D168">
        <f t="shared" si="17"/>
        <v>1</v>
      </c>
      <c r="E168">
        <f t="shared" si="18"/>
        <v>2025</v>
      </c>
      <c r="F168" t="str">
        <f t="shared" si="14"/>
        <v>Jan</v>
      </c>
      <c r="G168" t="str">
        <f t="shared" si="15"/>
        <v>Sun</v>
      </c>
      <c r="H168" t="str">
        <f t="shared" si="19"/>
        <v>Weekend</v>
      </c>
      <c r="I168" s="2">
        <v>0.37847222222222221</v>
      </c>
      <c r="J168" s="2">
        <f t="shared" si="20"/>
        <v>0.37847222222222221</v>
      </c>
      <c r="K168" t="s">
        <v>386</v>
      </c>
      <c r="L168" t="s">
        <v>58</v>
      </c>
      <c r="M168" t="s">
        <v>26</v>
      </c>
      <c r="N168" t="s">
        <v>46</v>
      </c>
      <c r="O168" t="s">
        <v>28</v>
      </c>
      <c r="P168">
        <v>3</v>
      </c>
      <c r="Q168">
        <v>62</v>
      </c>
      <c r="R168">
        <v>186</v>
      </c>
      <c r="S168">
        <v>0</v>
      </c>
      <c r="T168">
        <v>186</v>
      </c>
      <c r="U168" t="s">
        <v>64</v>
      </c>
      <c r="V168">
        <v>19</v>
      </c>
      <c r="W168" t="s">
        <v>23</v>
      </c>
      <c r="X168">
        <v>3</v>
      </c>
    </row>
    <row r="169" spans="1:24" x14ac:dyDescent="0.3">
      <c r="A169" t="s">
        <v>387</v>
      </c>
      <c r="B169" s="1">
        <v>45663</v>
      </c>
      <c r="C169">
        <f t="shared" si="16"/>
        <v>6</v>
      </c>
      <c r="D169">
        <f t="shared" si="17"/>
        <v>1</v>
      </c>
      <c r="E169">
        <f t="shared" si="18"/>
        <v>2025</v>
      </c>
      <c r="F169" t="str">
        <f t="shared" si="14"/>
        <v>Jan</v>
      </c>
      <c r="G169" t="str">
        <f t="shared" si="15"/>
        <v>Mon</v>
      </c>
      <c r="H169" t="str">
        <f t="shared" si="19"/>
        <v>Weekday</v>
      </c>
      <c r="I169" s="2">
        <v>0.78125</v>
      </c>
      <c r="J169" s="2">
        <f t="shared" si="20"/>
        <v>0.78125</v>
      </c>
      <c r="K169" t="s">
        <v>388</v>
      </c>
      <c r="L169" t="s">
        <v>90</v>
      </c>
      <c r="M169" t="s">
        <v>26</v>
      </c>
      <c r="N169" t="s">
        <v>55</v>
      </c>
      <c r="O169" t="s">
        <v>21</v>
      </c>
      <c r="P169">
        <v>1</v>
      </c>
      <c r="Q169">
        <v>74</v>
      </c>
      <c r="R169">
        <v>74</v>
      </c>
      <c r="S169">
        <v>0</v>
      </c>
      <c r="T169">
        <v>74</v>
      </c>
      <c r="U169" t="s">
        <v>42</v>
      </c>
      <c r="V169">
        <v>12</v>
      </c>
      <c r="W169" t="s">
        <v>23</v>
      </c>
      <c r="X169">
        <v>0</v>
      </c>
    </row>
    <row r="170" spans="1:24" x14ac:dyDescent="0.3">
      <c r="A170" t="s">
        <v>389</v>
      </c>
      <c r="B170" s="1">
        <v>45660</v>
      </c>
      <c r="C170">
        <f t="shared" si="16"/>
        <v>3</v>
      </c>
      <c r="D170">
        <f t="shared" si="17"/>
        <v>1</v>
      </c>
      <c r="E170">
        <f t="shared" si="18"/>
        <v>2025</v>
      </c>
      <c r="F170" t="str">
        <f t="shared" si="14"/>
        <v>Jan</v>
      </c>
      <c r="G170" t="str">
        <f t="shared" si="15"/>
        <v>Fri</v>
      </c>
      <c r="H170" t="str">
        <f t="shared" si="19"/>
        <v>Weekday</v>
      </c>
      <c r="I170" s="2">
        <v>0.78125</v>
      </c>
      <c r="J170" s="2">
        <f t="shared" si="20"/>
        <v>0.78125</v>
      </c>
      <c r="K170" t="s">
        <v>390</v>
      </c>
      <c r="L170" t="s">
        <v>49</v>
      </c>
      <c r="M170" t="s">
        <v>45</v>
      </c>
      <c r="N170" t="s">
        <v>55</v>
      </c>
      <c r="O170" t="s">
        <v>21</v>
      </c>
      <c r="P170">
        <v>4</v>
      </c>
      <c r="Q170">
        <v>84</v>
      </c>
      <c r="R170">
        <v>336</v>
      </c>
      <c r="S170">
        <v>10</v>
      </c>
      <c r="T170">
        <v>326</v>
      </c>
      <c r="U170" t="s">
        <v>64</v>
      </c>
      <c r="V170">
        <v>41</v>
      </c>
      <c r="W170" t="s">
        <v>23</v>
      </c>
      <c r="X170">
        <v>3</v>
      </c>
    </row>
    <row r="171" spans="1:24" x14ac:dyDescent="0.3">
      <c r="A171" t="s">
        <v>391</v>
      </c>
      <c r="B171" s="1">
        <v>45667</v>
      </c>
      <c r="C171">
        <f t="shared" si="16"/>
        <v>10</v>
      </c>
      <c r="D171">
        <f t="shared" si="17"/>
        <v>1</v>
      </c>
      <c r="E171">
        <f t="shared" si="18"/>
        <v>2025</v>
      </c>
      <c r="F171" t="str">
        <f t="shared" si="14"/>
        <v>Jan</v>
      </c>
      <c r="G171" t="str">
        <f t="shared" si="15"/>
        <v>Fri</v>
      </c>
      <c r="H171" t="str">
        <f t="shared" si="19"/>
        <v>Weekday</v>
      </c>
      <c r="I171" s="2">
        <v>0.37847222222222221</v>
      </c>
      <c r="J171" s="2">
        <f t="shared" si="20"/>
        <v>0.37847222222222221</v>
      </c>
      <c r="K171" t="s">
        <v>392</v>
      </c>
      <c r="L171" t="s">
        <v>90</v>
      </c>
      <c r="M171" t="s">
        <v>59</v>
      </c>
      <c r="N171" t="s">
        <v>40</v>
      </c>
      <c r="O171" t="s">
        <v>41</v>
      </c>
      <c r="P171">
        <v>3</v>
      </c>
      <c r="Q171">
        <v>72</v>
      </c>
      <c r="R171">
        <v>216</v>
      </c>
      <c r="S171">
        <v>0</v>
      </c>
      <c r="T171">
        <v>216</v>
      </c>
      <c r="U171" t="s">
        <v>42</v>
      </c>
      <c r="V171">
        <v>43</v>
      </c>
      <c r="W171" t="s">
        <v>23</v>
      </c>
      <c r="X171">
        <v>5</v>
      </c>
    </row>
    <row r="172" spans="1:24" x14ac:dyDescent="0.3">
      <c r="A172" t="s">
        <v>393</v>
      </c>
      <c r="B172" s="1">
        <v>45658</v>
      </c>
      <c r="C172">
        <f t="shared" si="16"/>
        <v>1</v>
      </c>
      <c r="D172">
        <f t="shared" si="17"/>
        <v>1</v>
      </c>
      <c r="E172">
        <f t="shared" si="18"/>
        <v>2025</v>
      </c>
      <c r="F172" t="str">
        <f t="shared" si="14"/>
        <v>Jan</v>
      </c>
      <c r="G172" t="str">
        <f t="shared" si="15"/>
        <v>Wed</v>
      </c>
      <c r="H172" t="str">
        <f t="shared" si="19"/>
        <v>Weekday</v>
      </c>
      <c r="I172" s="2">
        <v>0.78125</v>
      </c>
      <c r="J172" s="2">
        <f t="shared" si="20"/>
        <v>0.78125</v>
      </c>
      <c r="K172" t="s">
        <v>394</v>
      </c>
      <c r="L172" t="s">
        <v>87</v>
      </c>
      <c r="M172" t="s">
        <v>39</v>
      </c>
      <c r="N172" t="s">
        <v>20</v>
      </c>
      <c r="O172" t="s">
        <v>21</v>
      </c>
      <c r="P172">
        <v>2</v>
      </c>
      <c r="Q172">
        <v>33</v>
      </c>
      <c r="R172">
        <v>66</v>
      </c>
      <c r="S172">
        <v>10</v>
      </c>
      <c r="T172">
        <v>56</v>
      </c>
      <c r="U172" t="s">
        <v>64</v>
      </c>
      <c r="V172">
        <v>20</v>
      </c>
      <c r="W172" t="s">
        <v>23</v>
      </c>
      <c r="X172">
        <v>2</v>
      </c>
    </row>
    <row r="173" spans="1:24" x14ac:dyDescent="0.3">
      <c r="A173" t="s">
        <v>395</v>
      </c>
      <c r="B173" s="1">
        <v>45664</v>
      </c>
      <c r="C173">
        <f t="shared" si="16"/>
        <v>7</v>
      </c>
      <c r="D173">
        <f t="shared" si="17"/>
        <v>1</v>
      </c>
      <c r="E173">
        <f t="shared" si="18"/>
        <v>2025</v>
      </c>
      <c r="F173" t="str">
        <f t="shared" si="14"/>
        <v>Jan</v>
      </c>
      <c r="G173" t="str">
        <f t="shared" si="15"/>
        <v>Tue</v>
      </c>
      <c r="H173" t="str">
        <f t="shared" si="19"/>
        <v>Weekday</v>
      </c>
      <c r="I173" s="2">
        <v>0.76041666666666663</v>
      </c>
      <c r="J173" s="2">
        <f t="shared" si="20"/>
        <v>0.76041666666666663</v>
      </c>
      <c r="K173" t="s">
        <v>396</v>
      </c>
      <c r="L173" t="s">
        <v>38</v>
      </c>
      <c r="M173" t="s">
        <v>26</v>
      </c>
      <c r="N173" t="s">
        <v>20</v>
      </c>
      <c r="O173" t="s">
        <v>21</v>
      </c>
      <c r="P173">
        <v>6</v>
      </c>
      <c r="Q173">
        <v>26</v>
      </c>
      <c r="R173">
        <v>156</v>
      </c>
      <c r="S173">
        <v>0</v>
      </c>
      <c r="T173">
        <v>156</v>
      </c>
      <c r="U173" t="s">
        <v>34</v>
      </c>
      <c r="V173">
        <v>22</v>
      </c>
      <c r="W173" t="s">
        <v>23</v>
      </c>
      <c r="X173">
        <v>2</v>
      </c>
    </row>
    <row r="174" spans="1:24" x14ac:dyDescent="0.3">
      <c r="A174" t="s">
        <v>397</v>
      </c>
      <c r="B174" s="1">
        <v>45665</v>
      </c>
      <c r="C174">
        <f t="shared" si="16"/>
        <v>8</v>
      </c>
      <c r="D174">
        <f t="shared" si="17"/>
        <v>1</v>
      </c>
      <c r="E174">
        <f t="shared" si="18"/>
        <v>2025</v>
      </c>
      <c r="F174" t="str">
        <f t="shared" si="14"/>
        <v>Jan</v>
      </c>
      <c r="G174" t="str">
        <f t="shared" si="15"/>
        <v>Wed</v>
      </c>
      <c r="H174" t="str">
        <f t="shared" si="19"/>
        <v>Weekday</v>
      </c>
      <c r="I174" s="2">
        <v>0.4375</v>
      </c>
      <c r="J174" s="2">
        <f t="shared" si="20"/>
        <v>0.4375</v>
      </c>
      <c r="K174" t="s">
        <v>398</v>
      </c>
      <c r="L174" t="s">
        <v>87</v>
      </c>
      <c r="M174" t="s">
        <v>69</v>
      </c>
      <c r="N174" t="s">
        <v>40</v>
      </c>
      <c r="O174" t="s">
        <v>41</v>
      </c>
      <c r="P174">
        <v>1</v>
      </c>
      <c r="Q174">
        <v>80</v>
      </c>
      <c r="R174">
        <v>80</v>
      </c>
      <c r="S174">
        <v>0</v>
      </c>
      <c r="T174">
        <v>80</v>
      </c>
      <c r="U174" t="s">
        <v>34</v>
      </c>
      <c r="V174">
        <v>14</v>
      </c>
      <c r="W174" t="s">
        <v>23</v>
      </c>
      <c r="X174">
        <v>5</v>
      </c>
    </row>
    <row r="175" spans="1:24" x14ac:dyDescent="0.3">
      <c r="A175" t="s">
        <v>399</v>
      </c>
      <c r="B175" s="1">
        <v>45658</v>
      </c>
      <c r="C175">
        <f t="shared" si="16"/>
        <v>1</v>
      </c>
      <c r="D175">
        <f t="shared" si="17"/>
        <v>1</v>
      </c>
      <c r="E175">
        <f t="shared" si="18"/>
        <v>2025</v>
      </c>
      <c r="F175" t="str">
        <f t="shared" si="14"/>
        <v>Jan</v>
      </c>
      <c r="G175" t="str">
        <f t="shared" si="15"/>
        <v>Wed</v>
      </c>
      <c r="H175" t="str">
        <f t="shared" si="19"/>
        <v>Weekday</v>
      </c>
      <c r="I175" s="2">
        <v>0.37847222222222221</v>
      </c>
      <c r="J175" s="2">
        <f t="shared" si="20"/>
        <v>0.37847222222222221</v>
      </c>
      <c r="K175" t="s">
        <v>400</v>
      </c>
      <c r="L175" t="s">
        <v>58</v>
      </c>
      <c r="M175" t="s">
        <v>78</v>
      </c>
      <c r="N175" t="s">
        <v>33</v>
      </c>
      <c r="O175" t="s">
        <v>21</v>
      </c>
      <c r="P175">
        <v>5</v>
      </c>
      <c r="Q175">
        <v>64</v>
      </c>
      <c r="R175">
        <v>320</v>
      </c>
      <c r="S175">
        <v>0</v>
      </c>
      <c r="T175">
        <v>320</v>
      </c>
      <c r="U175" t="s">
        <v>64</v>
      </c>
      <c r="V175">
        <v>46</v>
      </c>
      <c r="W175" t="s">
        <v>35</v>
      </c>
      <c r="X175">
        <v>1</v>
      </c>
    </row>
    <row r="176" spans="1:24" x14ac:dyDescent="0.3">
      <c r="A176" t="s">
        <v>401</v>
      </c>
      <c r="B176" s="1">
        <v>45664</v>
      </c>
      <c r="C176">
        <f t="shared" si="16"/>
        <v>7</v>
      </c>
      <c r="D176">
        <f t="shared" si="17"/>
        <v>1</v>
      </c>
      <c r="E176">
        <f t="shared" si="18"/>
        <v>2025</v>
      </c>
      <c r="F176" t="str">
        <f t="shared" si="14"/>
        <v>Jan</v>
      </c>
      <c r="G176" t="str">
        <f t="shared" si="15"/>
        <v>Tue</v>
      </c>
      <c r="H176" t="str">
        <f t="shared" si="19"/>
        <v>Weekday</v>
      </c>
      <c r="I176" s="2">
        <v>0.37847222222222221</v>
      </c>
      <c r="J176" s="2">
        <f t="shared" si="20"/>
        <v>0.37847222222222221</v>
      </c>
      <c r="K176" t="s">
        <v>402</v>
      </c>
      <c r="L176" t="s">
        <v>90</v>
      </c>
      <c r="M176" t="s">
        <v>45</v>
      </c>
      <c r="N176" t="s">
        <v>105</v>
      </c>
      <c r="O176" t="s">
        <v>106</v>
      </c>
      <c r="P176">
        <v>1</v>
      </c>
      <c r="Q176">
        <v>19</v>
      </c>
      <c r="R176">
        <v>19</v>
      </c>
      <c r="S176">
        <v>0</v>
      </c>
      <c r="T176">
        <v>19</v>
      </c>
      <c r="U176" t="s">
        <v>34</v>
      </c>
      <c r="V176">
        <v>60</v>
      </c>
      <c r="W176" t="s">
        <v>23</v>
      </c>
      <c r="X176">
        <v>1</v>
      </c>
    </row>
    <row r="177" spans="1:24" x14ac:dyDescent="0.3">
      <c r="A177" t="s">
        <v>403</v>
      </c>
      <c r="B177" s="1">
        <v>45659</v>
      </c>
      <c r="C177">
        <f t="shared" si="16"/>
        <v>2</v>
      </c>
      <c r="D177">
        <f t="shared" si="17"/>
        <v>1</v>
      </c>
      <c r="E177">
        <f t="shared" si="18"/>
        <v>2025</v>
      </c>
      <c r="F177" t="str">
        <f t="shared" si="14"/>
        <v>Jan</v>
      </c>
      <c r="G177" t="str">
        <f t="shared" si="15"/>
        <v>Thu</v>
      </c>
      <c r="H177" t="str">
        <f t="shared" si="19"/>
        <v>Weekday</v>
      </c>
      <c r="I177" s="2">
        <v>0.76041666666666663</v>
      </c>
      <c r="J177" s="2">
        <f t="shared" si="20"/>
        <v>0.76041666666666663</v>
      </c>
      <c r="K177" t="s">
        <v>404</v>
      </c>
      <c r="L177" t="s">
        <v>58</v>
      </c>
      <c r="M177" t="s">
        <v>78</v>
      </c>
      <c r="N177" t="s">
        <v>93</v>
      </c>
      <c r="O177" t="s">
        <v>94</v>
      </c>
      <c r="P177">
        <v>6</v>
      </c>
      <c r="Q177">
        <v>30</v>
      </c>
      <c r="R177">
        <v>180</v>
      </c>
      <c r="S177">
        <v>5</v>
      </c>
      <c r="T177">
        <v>175</v>
      </c>
      <c r="U177" t="s">
        <v>22</v>
      </c>
      <c r="V177">
        <v>32</v>
      </c>
      <c r="W177" t="s">
        <v>35</v>
      </c>
      <c r="X177">
        <v>3</v>
      </c>
    </row>
    <row r="178" spans="1:24" x14ac:dyDescent="0.3">
      <c r="A178" t="s">
        <v>405</v>
      </c>
      <c r="B178" s="1">
        <v>45663</v>
      </c>
      <c r="C178">
        <f t="shared" si="16"/>
        <v>6</v>
      </c>
      <c r="D178">
        <f t="shared" si="17"/>
        <v>1</v>
      </c>
      <c r="E178">
        <f t="shared" si="18"/>
        <v>2025</v>
      </c>
      <c r="F178" t="str">
        <f t="shared" si="14"/>
        <v>Jan</v>
      </c>
      <c r="G178" t="str">
        <f t="shared" si="15"/>
        <v>Mon</v>
      </c>
      <c r="H178" t="str">
        <f t="shared" si="19"/>
        <v>Weekday</v>
      </c>
      <c r="I178" s="2">
        <v>0.76041666666666663</v>
      </c>
      <c r="J178" s="2">
        <f t="shared" si="20"/>
        <v>0.76041666666666663</v>
      </c>
      <c r="K178" t="s">
        <v>406</v>
      </c>
      <c r="L178" t="s">
        <v>38</v>
      </c>
      <c r="M178" t="s">
        <v>39</v>
      </c>
      <c r="N178" t="s">
        <v>27</v>
      </c>
      <c r="O178" t="s">
        <v>28</v>
      </c>
      <c r="P178">
        <v>1</v>
      </c>
      <c r="Q178">
        <v>96</v>
      </c>
      <c r="R178">
        <v>96</v>
      </c>
      <c r="S178">
        <v>0</v>
      </c>
      <c r="T178">
        <v>96</v>
      </c>
      <c r="U178" t="s">
        <v>42</v>
      </c>
      <c r="V178">
        <v>52</v>
      </c>
      <c r="W178" t="s">
        <v>35</v>
      </c>
      <c r="X178">
        <v>4</v>
      </c>
    </row>
    <row r="179" spans="1:24" x14ac:dyDescent="0.3">
      <c r="A179" t="s">
        <v>407</v>
      </c>
      <c r="B179" s="1">
        <v>45668</v>
      </c>
      <c r="C179">
        <f t="shared" si="16"/>
        <v>11</v>
      </c>
      <c r="D179">
        <f t="shared" si="17"/>
        <v>1</v>
      </c>
      <c r="E179">
        <f t="shared" si="18"/>
        <v>2025</v>
      </c>
      <c r="F179" t="str">
        <f t="shared" si="14"/>
        <v>Jan</v>
      </c>
      <c r="G179" t="str">
        <f t="shared" si="15"/>
        <v>Sat</v>
      </c>
      <c r="H179" t="str">
        <f t="shared" si="19"/>
        <v>Weekend</v>
      </c>
      <c r="I179" s="2">
        <v>0.37847222222222221</v>
      </c>
      <c r="J179" s="2">
        <f t="shared" si="20"/>
        <v>0.37847222222222221</v>
      </c>
      <c r="K179" t="s">
        <v>408</v>
      </c>
      <c r="L179" t="s">
        <v>52</v>
      </c>
      <c r="M179" t="s">
        <v>45</v>
      </c>
      <c r="N179" t="s">
        <v>20</v>
      </c>
      <c r="O179" t="s">
        <v>21</v>
      </c>
      <c r="P179">
        <v>3</v>
      </c>
      <c r="Q179">
        <v>91</v>
      </c>
      <c r="R179">
        <v>273</v>
      </c>
      <c r="S179">
        <v>5</v>
      </c>
      <c r="T179">
        <v>268</v>
      </c>
      <c r="U179" t="s">
        <v>64</v>
      </c>
      <c r="V179">
        <v>46</v>
      </c>
      <c r="W179" t="s">
        <v>23</v>
      </c>
      <c r="X179">
        <v>2</v>
      </c>
    </row>
    <row r="180" spans="1:24" x14ac:dyDescent="0.3">
      <c r="A180" t="s">
        <v>409</v>
      </c>
      <c r="B180" s="1">
        <v>45661</v>
      </c>
      <c r="C180">
        <f t="shared" si="16"/>
        <v>4</v>
      </c>
      <c r="D180">
        <f t="shared" si="17"/>
        <v>1</v>
      </c>
      <c r="E180">
        <f t="shared" si="18"/>
        <v>2025</v>
      </c>
      <c r="F180" t="str">
        <f t="shared" si="14"/>
        <v>Jan</v>
      </c>
      <c r="G180" t="str">
        <f t="shared" si="15"/>
        <v>Sat</v>
      </c>
      <c r="H180" t="str">
        <f t="shared" si="19"/>
        <v>Weekend</v>
      </c>
      <c r="I180" s="2">
        <v>0.76041666666666663</v>
      </c>
      <c r="J180" s="2">
        <f t="shared" si="20"/>
        <v>0.76041666666666663</v>
      </c>
      <c r="K180" t="s">
        <v>410</v>
      </c>
      <c r="L180" t="s">
        <v>52</v>
      </c>
      <c r="M180" t="s">
        <v>78</v>
      </c>
      <c r="N180" t="s">
        <v>79</v>
      </c>
      <c r="O180" t="s">
        <v>80</v>
      </c>
      <c r="P180">
        <v>4</v>
      </c>
      <c r="Q180">
        <v>79</v>
      </c>
      <c r="R180">
        <v>316</v>
      </c>
      <c r="S180">
        <v>0</v>
      </c>
      <c r="T180">
        <v>316</v>
      </c>
      <c r="U180" t="s">
        <v>42</v>
      </c>
      <c r="V180">
        <v>16</v>
      </c>
      <c r="W180" t="s">
        <v>23</v>
      </c>
      <c r="X180">
        <v>1</v>
      </c>
    </row>
    <row r="181" spans="1:24" x14ac:dyDescent="0.3">
      <c r="A181" t="s">
        <v>411</v>
      </c>
      <c r="B181" s="1">
        <v>45663</v>
      </c>
      <c r="C181">
        <f t="shared" si="16"/>
        <v>6</v>
      </c>
      <c r="D181">
        <f t="shared" si="17"/>
        <v>1</v>
      </c>
      <c r="E181">
        <f t="shared" si="18"/>
        <v>2025</v>
      </c>
      <c r="F181" t="str">
        <f t="shared" si="14"/>
        <v>Jan</v>
      </c>
      <c r="G181" t="str">
        <f t="shared" si="15"/>
        <v>Mon</v>
      </c>
      <c r="H181" t="str">
        <f t="shared" si="19"/>
        <v>Weekday</v>
      </c>
      <c r="I181" s="2">
        <v>0.76041666666666663</v>
      </c>
      <c r="J181" s="2">
        <f t="shared" si="20"/>
        <v>0.76041666666666663</v>
      </c>
      <c r="K181" t="s">
        <v>412</v>
      </c>
      <c r="L181" t="s">
        <v>52</v>
      </c>
      <c r="M181" t="s">
        <v>78</v>
      </c>
      <c r="N181" t="s">
        <v>33</v>
      </c>
      <c r="O181" t="s">
        <v>21</v>
      </c>
      <c r="P181">
        <v>4</v>
      </c>
      <c r="Q181">
        <v>60</v>
      </c>
      <c r="R181">
        <v>240</v>
      </c>
      <c r="S181">
        <v>10</v>
      </c>
      <c r="T181">
        <v>230</v>
      </c>
      <c r="U181" t="s">
        <v>42</v>
      </c>
      <c r="V181">
        <v>38</v>
      </c>
      <c r="W181" t="s">
        <v>35</v>
      </c>
      <c r="X181">
        <v>0</v>
      </c>
    </row>
    <row r="182" spans="1:24" x14ac:dyDescent="0.3">
      <c r="A182" t="s">
        <v>413</v>
      </c>
      <c r="B182" s="1">
        <v>45658</v>
      </c>
      <c r="C182">
        <f t="shared" si="16"/>
        <v>1</v>
      </c>
      <c r="D182">
        <f t="shared" si="17"/>
        <v>1</v>
      </c>
      <c r="E182">
        <f t="shared" si="18"/>
        <v>2025</v>
      </c>
      <c r="F182" t="str">
        <f t="shared" si="14"/>
        <v>Jan</v>
      </c>
      <c r="G182" t="str">
        <f t="shared" si="15"/>
        <v>Wed</v>
      </c>
      <c r="H182" t="str">
        <f t="shared" si="19"/>
        <v>Weekday</v>
      </c>
      <c r="I182" s="2">
        <v>0.78125</v>
      </c>
      <c r="J182" s="2">
        <f t="shared" si="20"/>
        <v>0.78125</v>
      </c>
      <c r="K182" t="s">
        <v>414</v>
      </c>
      <c r="L182" t="s">
        <v>52</v>
      </c>
      <c r="M182" t="s">
        <v>19</v>
      </c>
      <c r="N182" t="s">
        <v>33</v>
      </c>
      <c r="O182" t="s">
        <v>21</v>
      </c>
      <c r="P182">
        <v>1</v>
      </c>
      <c r="Q182">
        <v>61</v>
      </c>
      <c r="R182">
        <v>61</v>
      </c>
      <c r="S182">
        <v>0</v>
      </c>
      <c r="T182">
        <v>61</v>
      </c>
      <c r="U182" t="s">
        <v>42</v>
      </c>
      <c r="V182">
        <v>52</v>
      </c>
      <c r="W182" t="s">
        <v>23</v>
      </c>
      <c r="X182">
        <v>3</v>
      </c>
    </row>
    <row r="183" spans="1:24" x14ac:dyDescent="0.3">
      <c r="A183" t="s">
        <v>415</v>
      </c>
      <c r="B183" s="1">
        <v>45666</v>
      </c>
      <c r="C183">
        <f t="shared" si="16"/>
        <v>9</v>
      </c>
      <c r="D183">
        <f t="shared" si="17"/>
        <v>1</v>
      </c>
      <c r="E183">
        <f t="shared" si="18"/>
        <v>2025</v>
      </c>
      <c r="F183" t="str">
        <f t="shared" si="14"/>
        <v>Jan</v>
      </c>
      <c r="G183" t="str">
        <f t="shared" si="15"/>
        <v>Thu</v>
      </c>
      <c r="H183" t="str">
        <f t="shared" si="19"/>
        <v>Weekday</v>
      </c>
      <c r="I183" s="2">
        <v>0.4375</v>
      </c>
      <c r="J183" s="2">
        <f t="shared" si="20"/>
        <v>0.4375</v>
      </c>
      <c r="K183" t="s">
        <v>416</v>
      </c>
      <c r="L183" t="s">
        <v>52</v>
      </c>
      <c r="M183" t="s">
        <v>19</v>
      </c>
      <c r="N183" t="s">
        <v>105</v>
      </c>
      <c r="O183" t="s">
        <v>106</v>
      </c>
      <c r="P183">
        <v>2</v>
      </c>
      <c r="Q183">
        <v>41</v>
      </c>
      <c r="R183">
        <v>82</v>
      </c>
      <c r="S183">
        <v>5</v>
      </c>
      <c r="T183">
        <v>77</v>
      </c>
      <c r="U183" t="s">
        <v>42</v>
      </c>
      <c r="V183">
        <v>14</v>
      </c>
      <c r="W183" t="s">
        <v>23</v>
      </c>
      <c r="X183">
        <v>2</v>
      </c>
    </row>
    <row r="184" spans="1:24" x14ac:dyDescent="0.3">
      <c r="A184" t="s">
        <v>417</v>
      </c>
      <c r="B184" s="1">
        <v>45659</v>
      </c>
      <c r="C184">
        <f t="shared" si="16"/>
        <v>2</v>
      </c>
      <c r="D184">
        <f t="shared" si="17"/>
        <v>1</v>
      </c>
      <c r="E184">
        <f t="shared" si="18"/>
        <v>2025</v>
      </c>
      <c r="F184" t="str">
        <f t="shared" si="14"/>
        <v>Jan</v>
      </c>
      <c r="G184" t="str">
        <f t="shared" si="15"/>
        <v>Thu</v>
      </c>
      <c r="H184" t="str">
        <f t="shared" si="19"/>
        <v>Weekday</v>
      </c>
      <c r="I184" s="2">
        <v>0.37847222222222221</v>
      </c>
      <c r="J184" s="2">
        <f t="shared" si="20"/>
        <v>0.37847222222222221</v>
      </c>
      <c r="K184" t="s">
        <v>418</v>
      </c>
      <c r="L184" t="s">
        <v>49</v>
      </c>
      <c r="M184" t="s">
        <v>69</v>
      </c>
      <c r="N184" t="s">
        <v>46</v>
      </c>
      <c r="O184" t="s">
        <v>28</v>
      </c>
      <c r="P184">
        <v>3</v>
      </c>
      <c r="Q184">
        <v>46</v>
      </c>
      <c r="R184">
        <v>138</v>
      </c>
      <c r="S184">
        <v>0</v>
      </c>
      <c r="T184">
        <v>138</v>
      </c>
      <c r="U184" t="s">
        <v>22</v>
      </c>
      <c r="V184">
        <v>52</v>
      </c>
      <c r="W184" t="s">
        <v>35</v>
      </c>
      <c r="X184">
        <v>1</v>
      </c>
    </row>
    <row r="185" spans="1:24" x14ac:dyDescent="0.3">
      <c r="A185" t="s">
        <v>419</v>
      </c>
      <c r="B185" s="1">
        <v>45664</v>
      </c>
      <c r="C185">
        <f t="shared" si="16"/>
        <v>7</v>
      </c>
      <c r="D185">
        <f t="shared" si="17"/>
        <v>1</v>
      </c>
      <c r="E185">
        <f t="shared" si="18"/>
        <v>2025</v>
      </c>
      <c r="F185" t="str">
        <f t="shared" si="14"/>
        <v>Jan</v>
      </c>
      <c r="G185" t="str">
        <f t="shared" si="15"/>
        <v>Tue</v>
      </c>
      <c r="H185" t="str">
        <f t="shared" si="19"/>
        <v>Weekday</v>
      </c>
      <c r="I185" s="2">
        <v>0.4375</v>
      </c>
      <c r="J185" s="2">
        <f t="shared" si="20"/>
        <v>0.4375</v>
      </c>
      <c r="K185" t="s">
        <v>420</v>
      </c>
      <c r="L185" t="s">
        <v>52</v>
      </c>
      <c r="M185" t="s">
        <v>39</v>
      </c>
      <c r="N185" t="s">
        <v>27</v>
      </c>
      <c r="O185" t="s">
        <v>28</v>
      </c>
      <c r="P185">
        <v>5</v>
      </c>
      <c r="Q185">
        <v>119</v>
      </c>
      <c r="R185">
        <v>595</v>
      </c>
      <c r="S185">
        <v>0</v>
      </c>
      <c r="T185">
        <v>595</v>
      </c>
      <c r="U185" t="s">
        <v>34</v>
      </c>
      <c r="V185">
        <v>39</v>
      </c>
      <c r="W185" t="s">
        <v>23</v>
      </c>
      <c r="X185">
        <v>3</v>
      </c>
    </row>
    <row r="186" spans="1:24" x14ac:dyDescent="0.3">
      <c r="A186" t="s">
        <v>421</v>
      </c>
      <c r="B186" s="1">
        <v>45660</v>
      </c>
      <c r="C186">
        <f t="shared" si="16"/>
        <v>3</v>
      </c>
      <c r="D186">
        <f t="shared" si="17"/>
        <v>1</v>
      </c>
      <c r="E186">
        <f t="shared" si="18"/>
        <v>2025</v>
      </c>
      <c r="F186" t="str">
        <f t="shared" si="14"/>
        <v>Jan</v>
      </c>
      <c r="G186" t="str">
        <f t="shared" si="15"/>
        <v>Fri</v>
      </c>
      <c r="H186" t="str">
        <f t="shared" si="19"/>
        <v>Weekday</v>
      </c>
      <c r="I186" s="2">
        <v>0.76041666666666663</v>
      </c>
      <c r="J186" s="2">
        <f t="shared" si="20"/>
        <v>0.76041666666666663</v>
      </c>
      <c r="K186" t="s">
        <v>422</v>
      </c>
      <c r="L186" t="s">
        <v>90</v>
      </c>
      <c r="M186" t="s">
        <v>78</v>
      </c>
      <c r="N186" t="s">
        <v>79</v>
      </c>
      <c r="O186" t="s">
        <v>80</v>
      </c>
      <c r="P186">
        <v>1</v>
      </c>
      <c r="Q186">
        <v>87</v>
      </c>
      <c r="R186">
        <v>87</v>
      </c>
      <c r="S186">
        <v>0</v>
      </c>
      <c r="T186">
        <v>87</v>
      </c>
      <c r="U186" t="s">
        <v>34</v>
      </c>
      <c r="V186">
        <v>54</v>
      </c>
      <c r="W186" t="s">
        <v>23</v>
      </c>
      <c r="X186">
        <v>0</v>
      </c>
    </row>
    <row r="187" spans="1:24" x14ac:dyDescent="0.3">
      <c r="A187" t="s">
        <v>423</v>
      </c>
      <c r="B187" s="1">
        <v>45667</v>
      </c>
      <c r="C187">
        <f t="shared" si="16"/>
        <v>10</v>
      </c>
      <c r="D187">
        <f t="shared" si="17"/>
        <v>1</v>
      </c>
      <c r="E187">
        <f t="shared" si="18"/>
        <v>2025</v>
      </c>
      <c r="F187" t="str">
        <f t="shared" si="14"/>
        <v>Jan</v>
      </c>
      <c r="G187" t="str">
        <f t="shared" si="15"/>
        <v>Fri</v>
      </c>
      <c r="H187" t="str">
        <f t="shared" si="19"/>
        <v>Weekday</v>
      </c>
      <c r="I187" s="2">
        <v>0.78125</v>
      </c>
      <c r="J187" s="2">
        <f t="shared" si="20"/>
        <v>0.78125</v>
      </c>
      <c r="K187" t="s">
        <v>424</v>
      </c>
      <c r="L187" t="s">
        <v>38</v>
      </c>
      <c r="M187" t="s">
        <v>59</v>
      </c>
      <c r="N187" t="s">
        <v>93</v>
      </c>
      <c r="O187" t="s">
        <v>94</v>
      </c>
      <c r="P187">
        <v>1</v>
      </c>
      <c r="Q187">
        <v>17</v>
      </c>
      <c r="R187">
        <v>17</v>
      </c>
      <c r="S187">
        <v>10</v>
      </c>
      <c r="T187">
        <v>7</v>
      </c>
      <c r="U187" t="s">
        <v>34</v>
      </c>
      <c r="V187">
        <v>59</v>
      </c>
      <c r="W187" t="s">
        <v>35</v>
      </c>
      <c r="X187">
        <v>3</v>
      </c>
    </row>
    <row r="188" spans="1:24" x14ac:dyDescent="0.3">
      <c r="A188" t="s">
        <v>425</v>
      </c>
      <c r="B188" s="1">
        <v>45667</v>
      </c>
      <c r="C188">
        <f t="shared" si="16"/>
        <v>10</v>
      </c>
      <c r="D188">
        <f t="shared" si="17"/>
        <v>1</v>
      </c>
      <c r="E188">
        <f t="shared" si="18"/>
        <v>2025</v>
      </c>
      <c r="F188" t="str">
        <f t="shared" si="14"/>
        <v>Jan</v>
      </c>
      <c r="G188" t="str">
        <f t="shared" si="15"/>
        <v>Fri</v>
      </c>
      <c r="H188" t="str">
        <f t="shared" si="19"/>
        <v>Weekday</v>
      </c>
      <c r="I188" s="2">
        <v>0.76041666666666663</v>
      </c>
      <c r="J188" s="2">
        <f t="shared" si="20"/>
        <v>0.76041666666666663</v>
      </c>
      <c r="K188" t="s">
        <v>426</v>
      </c>
      <c r="L188" t="s">
        <v>38</v>
      </c>
      <c r="M188" t="s">
        <v>59</v>
      </c>
      <c r="N188" t="s">
        <v>55</v>
      </c>
      <c r="O188" t="s">
        <v>21</v>
      </c>
      <c r="P188">
        <v>5</v>
      </c>
      <c r="Q188">
        <v>52</v>
      </c>
      <c r="R188">
        <v>260</v>
      </c>
      <c r="S188">
        <v>0</v>
      </c>
      <c r="T188">
        <v>260</v>
      </c>
      <c r="U188" t="s">
        <v>34</v>
      </c>
      <c r="V188">
        <v>29</v>
      </c>
      <c r="W188" t="s">
        <v>35</v>
      </c>
      <c r="X188">
        <v>1</v>
      </c>
    </row>
    <row r="189" spans="1:24" x14ac:dyDescent="0.3">
      <c r="A189" t="s">
        <v>427</v>
      </c>
      <c r="B189" s="1">
        <v>45659</v>
      </c>
      <c r="C189">
        <f t="shared" si="16"/>
        <v>2</v>
      </c>
      <c r="D189">
        <f t="shared" si="17"/>
        <v>1</v>
      </c>
      <c r="E189">
        <f t="shared" si="18"/>
        <v>2025</v>
      </c>
      <c r="F189" t="str">
        <f t="shared" si="14"/>
        <v>Jan</v>
      </c>
      <c r="G189" t="str">
        <f t="shared" si="15"/>
        <v>Thu</v>
      </c>
      <c r="H189" t="str">
        <f t="shared" si="19"/>
        <v>Weekday</v>
      </c>
      <c r="I189" s="2">
        <v>0.76041666666666663</v>
      </c>
      <c r="J189" s="2">
        <f t="shared" si="20"/>
        <v>0.76041666666666663</v>
      </c>
      <c r="K189" t="s">
        <v>428</v>
      </c>
      <c r="L189" t="s">
        <v>52</v>
      </c>
      <c r="M189" t="s">
        <v>32</v>
      </c>
      <c r="N189" t="s">
        <v>20</v>
      </c>
      <c r="O189" t="s">
        <v>21</v>
      </c>
      <c r="P189">
        <v>4</v>
      </c>
      <c r="Q189">
        <v>22</v>
      </c>
      <c r="R189">
        <v>88</v>
      </c>
      <c r="S189">
        <v>10</v>
      </c>
      <c r="T189">
        <v>78</v>
      </c>
      <c r="U189" t="s">
        <v>22</v>
      </c>
      <c r="V189">
        <v>35</v>
      </c>
      <c r="W189" t="s">
        <v>35</v>
      </c>
      <c r="X189">
        <v>2</v>
      </c>
    </row>
    <row r="190" spans="1:24" x14ac:dyDescent="0.3">
      <c r="A190" t="s">
        <v>429</v>
      </c>
      <c r="B190" s="1">
        <v>45660</v>
      </c>
      <c r="C190">
        <f t="shared" si="16"/>
        <v>3</v>
      </c>
      <c r="D190">
        <f t="shared" si="17"/>
        <v>1</v>
      </c>
      <c r="E190">
        <f t="shared" si="18"/>
        <v>2025</v>
      </c>
      <c r="F190" t="str">
        <f t="shared" si="14"/>
        <v>Jan</v>
      </c>
      <c r="G190" t="str">
        <f t="shared" si="15"/>
        <v>Fri</v>
      </c>
      <c r="H190" t="str">
        <f t="shared" si="19"/>
        <v>Weekday</v>
      </c>
      <c r="I190" s="2">
        <v>0.76041666666666663</v>
      </c>
      <c r="J190" s="2">
        <f t="shared" si="20"/>
        <v>0.76041666666666663</v>
      </c>
      <c r="K190" t="s">
        <v>430</v>
      </c>
      <c r="L190" t="s">
        <v>31</v>
      </c>
      <c r="M190" t="s">
        <v>26</v>
      </c>
      <c r="N190" t="s">
        <v>105</v>
      </c>
      <c r="O190" t="s">
        <v>106</v>
      </c>
      <c r="P190">
        <v>5</v>
      </c>
      <c r="Q190">
        <v>92</v>
      </c>
      <c r="R190">
        <v>460</v>
      </c>
      <c r="S190">
        <v>0</v>
      </c>
      <c r="T190">
        <v>460</v>
      </c>
      <c r="U190" t="s">
        <v>22</v>
      </c>
      <c r="V190">
        <v>27</v>
      </c>
      <c r="W190" t="s">
        <v>35</v>
      </c>
      <c r="X190">
        <v>2</v>
      </c>
    </row>
    <row r="191" spans="1:24" x14ac:dyDescent="0.3">
      <c r="A191" t="s">
        <v>431</v>
      </c>
      <c r="B191" s="1">
        <v>45664</v>
      </c>
      <c r="C191">
        <f t="shared" si="16"/>
        <v>7</v>
      </c>
      <c r="D191">
        <f t="shared" si="17"/>
        <v>1</v>
      </c>
      <c r="E191">
        <f t="shared" si="18"/>
        <v>2025</v>
      </c>
      <c r="F191" t="str">
        <f t="shared" si="14"/>
        <v>Jan</v>
      </c>
      <c r="G191" t="str">
        <f t="shared" si="15"/>
        <v>Tue</v>
      </c>
      <c r="H191" t="str">
        <f t="shared" si="19"/>
        <v>Weekday</v>
      </c>
      <c r="I191" s="2">
        <v>0.78125</v>
      </c>
      <c r="J191" s="2">
        <f t="shared" si="20"/>
        <v>0.78125</v>
      </c>
      <c r="K191" t="s">
        <v>432</v>
      </c>
      <c r="L191" t="s">
        <v>49</v>
      </c>
      <c r="M191" t="s">
        <v>69</v>
      </c>
      <c r="N191" t="s">
        <v>79</v>
      </c>
      <c r="O191" t="s">
        <v>80</v>
      </c>
      <c r="P191">
        <v>3</v>
      </c>
      <c r="Q191">
        <v>31</v>
      </c>
      <c r="R191">
        <v>93</v>
      </c>
      <c r="S191">
        <v>5</v>
      </c>
      <c r="T191">
        <v>88</v>
      </c>
      <c r="U191" t="s">
        <v>22</v>
      </c>
      <c r="V191">
        <v>39</v>
      </c>
      <c r="W191" t="s">
        <v>23</v>
      </c>
      <c r="X191">
        <v>3</v>
      </c>
    </row>
    <row r="192" spans="1:24" x14ac:dyDescent="0.3">
      <c r="A192" t="s">
        <v>433</v>
      </c>
      <c r="B192" s="1">
        <v>45664</v>
      </c>
      <c r="C192">
        <f t="shared" si="16"/>
        <v>7</v>
      </c>
      <c r="D192">
        <f t="shared" si="17"/>
        <v>1</v>
      </c>
      <c r="E192">
        <f t="shared" si="18"/>
        <v>2025</v>
      </c>
      <c r="F192" t="str">
        <f t="shared" si="14"/>
        <v>Jan</v>
      </c>
      <c r="G192" t="str">
        <f t="shared" si="15"/>
        <v>Tue</v>
      </c>
      <c r="H192" t="str">
        <f t="shared" si="19"/>
        <v>Weekday</v>
      </c>
      <c r="I192" s="2">
        <v>0.78125</v>
      </c>
      <c r="J192" s="2">
        <f t="shared" si="20"/>
        <v>0.78125</v>
      </c>
      <c r="K192" t="s">
        <v>434</v>
      </c>
      <c r="L192" t="s">
        <v>87</v>
      </c>
      <c r="M192" t="s">
        <v>19</v>
      </c>
      <c r="N192" t="s">
        <v>40</v>
      </c>
      <c r="O192" t="s">
        <v>41</v>
      </c>
      <c r="P192">
        <v>2</v>
      </c>
      <c r="Q192">
        <v>12</v>
      </c>
      <c r="R192">
        <v>24</v>
      </c>
      <c r="S192">
        <v>10</v>
      </c>
      <c r="T192">
        <v>14</v>
      </c>
      <c r="U192" t="s">
        <v>64</v>
      </c>
      <c r="V192">
        <v>39</v>
      </c>
      <c r="W192" t="s">
        <v>35</v>
      </c>
      <c r="X192">
        <v>5</v>
      </c>
    </row>
    <row r="193" spans="1:24" x14ac:dyDescent="0.3">
      <c r="A193" t="s">
        <v>435</v>
      </c>
      <c r="B193" s="1">
        <v>45661</v>
      </c>
      <c r="C193">
        <f t="shared" si="16"/>
        <v>4</v>
      </c>
      <c r="D193">
        <f t="shared" si="17"/>
        <v>1</v>
      </c>
      <c r="E193">
        <f t="shared" si="18"/>
        <v>2025</v>
      </c>
      <c r="F193" t="str">
        <f t="shared" si="14"/>
        <v>Jan</v>
      </c>
      <c r="G193" t="str">
        <f t="shared" si="15"/>
        <v>Sat</v>
      </c>
      <c r="H193" t="str">
        <f t="shared" si="19"/>
        <v>Weekend</v>
      </c>
      <c r="I193" s="2">
        <v>0.76041666666666663</v>
      </c>
      <c r="J193" s="2">
        <f t="shared" si="20"/>
        <v>0.76041666666666663</v>
      </c>
      <c r="K193" t="s">
        <v>436</v>
      </c>
      <c r="L193" t="s">
        <v>38</v>
      </c>
      <c r="M193" t="s">
        <v>59</v>
      </c>
      <c r="N193" t="s">
        <v>55</v>
      </c>
      <c r="O193" t="s">
        <v>21</v>
      </c>
      <c r="P193">
        <v>3</v>
      </c>
      <c r="Q193">
        <v>55</v>
      </c>
      <c r="R193">
        <v>165</v>
      </c>
      <c r="S193">
        <v>0</v>
      </c>
      <c r="T193">
        <v>165</v>
      </c>
      <c r="U193" t="s">
        <v>22</v>
      </c>
      <c r="V193">
        <v>14</v>
      </c>
      <c r="W193" t="s">
        <v>35</v>
      </c>
      <c r="X193">
        <v>5</v>
      </c>
    </row>
    <row r="194" spans="1:24" x14ac:dyDescent="0.3">
      <c r="A194" t="s">
        <v>437</v>
      </c>
      <c r="B194" s="1">
        <v>45663</v>
      </c>
      <c r="C194">
        <f t="shared" si="16"/>
        <v>6</v>
      </c>
      <c r="D194">
        <f t="shared" si="17"/>
        <v>1</v>
      </c>
      <c r="E194">
        <f t="shared" si="18"/>
        <v>2025</v>
      </c>
      <c r="F194" t="str">
        <f t="shared" ref="F194:F257" si="21">TEXT(B194,"mmm")</f>
        <v>Jan</v>
      </c>
      <c r="G194" t="str">
        <f t="shared" ref="G194:G257" si="22">TEXT(B194,"ddd")</f>
        <v>Mon</v>
      </c>
      <c r="H194" t="str">
        <f t="shared" si="19"/>
        <v>Weekday</v>
      </c>
      <c r="I194" s="2">
        <v>0.76041666666666663</v>
      </c>
      <c r="J194" s="2">
        <f t="shared" si="20"/>
        <v>0.76041666666666663</v>
      </c>
      <c r="K194" t="s">
        <v>438</v>
      </c>
      <c r="L194" t="s">
        <v>52</v>
      </c>
      <c r="M194" t="s">
        <v>78</v>
      </c>
      <c r="N194" t="s">
        <v>40</v>
      </c>
      <c r="O194" t="s">
        <v>41</v>
      </c>
      <c r="P194">
        <v>4</v>
      </c>
      <c r="Q194">
        <v>20</v>
      </c>
      <c r="R194">
        <v>90</v>
      </c>
      <c r="S194">
        <v>0</v>
      </c>
      <c r="T194">
        <v>80</v>
      </c>
      <c r="U194" t="s">
        <v>64</v>
      </c>
      <c r="V194">
        <v>58</v>
      </c>
      <c r="W194" t="s">
        <v>23</v>
      </c>
      <c r="X194">
        <v>5</v>
      </c>
    </row>
    <row r="195" spans="1:24" x14ac:dyDescent="0.3">
      <c r="A195" t="s">
        <v>439</v>
      </c>
      <c r="B195" s="1">
        <v>45662</v>
      </c>
      <c r="C195">
        <f t="shared" ref="C195:C258" si="23">DAY(B195)</f>
        <v>5</v>
      </c>
      <c r="D195">
        <f t="shared" ref="D195:D258" si="24">MONTH(B195)</f>
        <v>1</v>
      </c>
      <c r="E195">
        <f t="shared" ref="E195:E258" si="25">YEAR(B195)</f>
        <v>2025</v>
      </c>
      <c r="F195" t="str">
        <f t="shared" si="21"/>
        <v>Jan</v>
      </c>
      <c r="G195" t="str">
        <f t="shared" si="22"/>
        <v>Sun</v>
      </c>
      <c r="H195" t="str">
        <f t="shared" ref="H195:H258" si="26">IF(OR(G195="sat",G195="sun"),"Weekend","Weekday")</f>
        <v>Weekend</v>
      </c>
      <c r="I195" s="2">
        <v>0.76041666666666663</v>
      </c>
      <c r="J195" s="2">
        <f t="shared" ref="J195:J258" si="27">IF(ISNUMBER(I195),I195,IFERROR(TIMEVALUE(I195),TIMEVALUE(SUBSTITUTE(I195,".",":"))))</f>
        <v>0.76041666666666663</v>
      </c>
      <c r="K195" t="s">
        <v>440</v>
      </c>
      <c r="L195" t="s">
        <v>87</v>
      </c>
      <c r="M195" t="s">
        <v>19</v>
      </c>
      <c r="N195" t="s">
        <v>20</v>
      </c>
      <c r="O195" t="s">
        <v>21</v>
      </c>
      <c r="P195">
        <v>4</v>
      </c>
      <c r="Q195">
        <v>56</v>
      </c>
      <c r="R195">
        <v>224</v>
      </c>
      <c r="S195">
        <v>0</v>
      </c>
      <c r="T195">
        <v>224</v>
      </c>
      <c r="U195" t="s">
        <v>22</v>
      </c>
      <c r="V195">
        <v>33</v>
      </c>
      <c r="W195" t="s">
        <v>23</v>
      </c>
      <c r="X195">
        <v>2</v>
      </c>
    </row>
    <row r="196" spans="1:24" x14ac:dyDescent="0.3">
      <c r="A196" t="s">
        <v>441</v>
      </c>
      <c r="B196" s="1">
        <v>45665</v>
      </c>
      <c r="C196">
        <f t="shared" si="23"/>
        <v>8</v>
      </c>
      <c r="D196">
        <f t="shared" si="24"/>
        <v>1</v>
      </c>
      <c r="E196">
        <f t="shared" si="25"/>
        <v>2025</v>
      </c>
      <c r="F196" t="str">
        <f t="shared" si="21"/>
        <v>Jan</v>
      </c>
      <c r="G196" t="str">
        <f t="shared" si="22"/>
        <v>Wed</v>
      </c>
      <c r="H196" t="str">
        <f t="shared" si="26"/>
        <v>Weekday</v>
      </c>
      <c r="I196" s="2">
        <v>0.76041666666666663</v>
      </c>
      <c r="J196" s="2">
        <f t="shared" si="27"/>
        <v>0.76041666666666663</v>
      </c>
      <c r="K196" t="s">
        <v>442</v>
      </c>
      <c r="L196" t="s">
        <v>38</v>
      </c>
      <c r="M196" t="s">
        <v>39</v>
      </c>
      <c r="N196" t="s">
        <v>46</v>
      </c>
      <c r="O196" t="s">
        <v>28</v>
      </c>
      <c r="P196">
        <v>2</v>
      </c>
      <c r="Q196">
        <v>58</v>
      </c>
      <c r="R196">
        <v>116</v>
      </c>
      <c r="S196">
        <v>10</v>
      </c>
      <c r="T196">
        <v>106</v>
      </c>
      <c r="U196" t="s">
        <v>64</v>
      </c>
      <c r="V196">
        <v>20</v>
      </c>
      <c r="W196" t="s">
        <v>23</v>
      </c>
      <c r="X196">
        <v>5</v>
      </c>
    </row>
    <row r="197" spans="1:24" x14ac:dyDescent="0.3">
      <c r="A197" t="s">
        <v>443</v>
      </c>
      <c r="B197" s="1">
        <v>45663</v>
      </c>
      <c r="C197">
        <f t="shared" si="23"/>
        <v>6</v>
      </c>
      <c r="D197">
        <f t="shared" si="24"/>
        <v>1</v>
      </c>
      <c r="E197">
        <f t="shared" si="25"/>
        <v>2025</v>
      </c>
      <c r="F197" t="str">
        <f t="shared" si="21"/>
        <v>Jan</v>
      </c>
      <c r="G197" t="str">
        <f t="shared" si="22"/>
        <v>Mon</v>
      </c>
      <c r="H197" t="str">
        <f t="shared" si="26"/>
        <v>Weekday</v>
      </c>
      <c r="I197" s="2">
        <v>0.78125</v>
      </c>
      <c r="J197" s="2">
        <f t="shared" si="27"/>
        <v>0.78125</v>
      </c>
      <c r="K197" t="s">
        <v>444</v>
      </c>
      <c r="L197" t="s">
        <v>87</v>
      </c>
      <c r="M197" t="s">
        <v>69</v>
      </c>
      <c r="N197" t="s">
        <v>20</v>
      </c>
      <c r="O197" t="s">
        <v>21</v>
      </c>
      <c r="P197">
        <v>6</v>
      </c>
      <c r="Q197">
        <v>66</v>
      </c>
      <c r="R197">
        <v>396</v>
      </c>
      <c r="S197">
        <v>10</v>
      </c>
      <c r="T197">
        <v>386</v>
      </c>
      <c r="U197" t="s">
        <v>42</v>
      </c>
      <c r="V197">
        <v>14</v>
      </c>
      <c r="W197" t="s">
        <v>23</v>
      </c>
      <c r="X197">
        <v>2</v>
      </c>
    </row>
    <row r="198" spans="1:24" x14ac:dyDescent="0.3">
      <c r="A198" t="s">
        <v>445</v>
      </c>
      <c r="B198" s="1">
        <v>45662</v>
      </c>
      <c r="C198">
        <f t="shared" si="23"/>
        <v>5</v>
      </c>
      <c r="D198">
        <f t="shared" si="24"/>
        <v>1</v>
      </c>
      <c r="E198">
        <f t="shared" si="25"/>
        <v>2025</v>
      </c>
      <c r="F198" t="str">
        <f t="shared" si="21"/>
        <v>Jan</v>
      </c>
      <c r="G198" t="str">
        <f t="shared" si="22"/>
        <v>Sun</v>
      </c>
      <c r="H198" t="str">
        <f t="shared" si="26"/>
        <v>Weekend</v>
      </c>
      <c r="I198" s="2">
        <v>0.76041666666666663</v>
      </c>
      <c r="J198" s="2">
        <f t="shared" si="27"/>
        <v>0.76041666666666663</v>
      </c>
      <c r="K198" t="s">
        <v>446</v>
      </c>
      <c r="L198" t="s">
        <v>31</v>
      </c>
      <c r="M198" t="s">
        <v>78</v>
      </c>
      <c r="N198" t="s">
        <v>55</v>
      </c>
      <c r="O198" t="s">
        <v>21</v>
      </c>
      <c r="P198">
        <v>5</v>
      </c>
      <c r="Q198">
        <v>75</v>
      </c>
      <c r="R198">
        <v>375</v>
      </c>
      <c r="S198">
        <v>0</v>
      </c>
      <c r="T198">
        <v>375</v>
      </c>
      <c r="U198" t="s">
        <v>64</v>
      </c>
      <c r="V198">
        <v>54</v>
      </c>
      <c r="W198" t="s">
        <v>35</v>
      </c>
      <c r="X198">
        <v>4</v>
      </c>
    </row>
    <row r="199" spans="1:24" x14ac:dyDescent="0.3">
      <c r="A199" t="s">
        <v>447</v>
      </c>
      <c r="B199" s="1">
        <v>45665</v>
      </c>
      <c r="C199">
        <f t="shared" si="23"/>
        <v>8</v>
      </c>
      <c r="D199">
        <f t="shared" si="24"/>
        <v>1</v>
      </c>
      <c r="E199">
        <f t="shared" si="25"/>
        <v>2025</v>
      </c>
      <c r="F199" t="str">
        <f t="shared" si="21"/>
        <v>Jan</v>
      </c>
      <c r="G199" t="str">
        <f t="shared" si="22"/>
        <v>Wed</v>
      </c>
      <c r="H199" t="str">
        <f t="shared" si="26"/>
        <v>Weekday</v>
      </c>
      <c r="I199" s="2">
        <v>0.4375</v>
      </c>
      <c r="J199" s="2">
        <f t="shared" si="27"/>
        <v>0.4375</v>
      </c>
      <c r="K199" t="s">
        <v>448</v>
      </c>
      <c r="L199" t="s">
        <v>38</v>
      </c>
      <c r="M199" t="s">
        <v>39</v>
      </c>
      <c r="N199" t="s">
        <v>40</v>
      </c>
      <c r="O199" t="s">
        <v>41</v>
      </c>
      <c r="P199">
        <v>5</v>
      </c>
      <c r="Q199">
        <v>119</v>
      </c>
      <c r="R199">
        <v>595</v>
      </c>
      <c r="S199">
        <v>5</v>
      </c>
      <c r="T199">
        <v>590</v>
      </c>
      <c r="U199" t="s">
        <v>22</v>
      </c>
      <c r="V199">
        <v>28</v>
      </c>
      <c r="W199" t="s">
        <v>35</v>
      </c>
      <c r="X199">
        <v>4</v>
      </c>
    </row>
    <row r="200" spans="1:24" x14ac:dyDescent="0.3">
      <c r="A200" t="s">
        <v>449</v>
      </c>
      <c r="B200" s="1">
        <v>45665</v>
      </c>
      <c r="C200">
        <f t="shared" si="23"/>
        <v>8</v>
      </c>
      <c r="D200">
        <f t="shared" si="24"/>
        <v>1</v>
      </c>
      <c r="E200">
        <f t="shared" si="25"/>
        <v>2025</v>
      </c>
      <c r="F200" t="str">
        <f t="shared" si="21"/>
        <v>Jan</v>
      </c>
      <c r="G200" t="str">
        <f t="shared" si="22"/>
        <v>Wed</v>
      </c>
      <c r="H200" t="str">
        <f t="shared" si="26"/>
        <v>Weekday</v>
      </c>
      <c r="I200" s="2">
        <v>0.37847222222222221</v>
      </c>
      <c r="J200" s="2">
        <f t="shared" si="27"/>
        <v>0.37847222222222221</v>
      </c>
      <c r="K200" t="s">
        <v>450</v>
      </c>
      <c r="L200" t="s">
        <v>87</v>
      </c>
      <c r="M200" t="s">
        <v>32</v>
      </c>
      <c r="N200" t="s">
        <v>20</v>
      </c>
      <c r="O200" t="s">
        <v>21</v>
      </c>
      <c r="P200">
        <v>5</v>
      </c>
      <c r="Q200">
        <v>110</v>
      </c>
      <c r="R200">
        <v>550</v>
      </c>
      <c r="S200">
        <v>10</v>
      </c>
      <c r="T200">
        <v>540</v>
      </c>
      <c r="U200" t="s">
        <v>34</v>
      </c>
      <c r="V200">
        <v>45</v>
      </c>
      <c r="W200" t="s">
        <v>23</v>
      </c>
      <c r="X200">
        <v>3</v>
      </c>
    </row>
    <row r="201" spans="1:24" x14ac:dyDescent="0.3">
      <c r="A201" t="s">
        <v>451</v>
      </c>
      <c r="B201" s="1">
        <v>45663</v>
      </c>
      <c r="C201">
        <f t="shared" si="23"/>
        <v>6</v>
      </c>
      <c r="D201">
        <f t="shared" si="24"/>
        <v>1</v>
      </c>
      <c r="E201">
        <f t="shared" si="25"/>
        <v>2025</v>
      </c>
      <c r="F201" t="str">
        <f t="shared" si="21"/>
        <v>Jan</v>
      </c>
      <c r="G201" t="str">
        <f t="shared" si="22"/>
        <v>Mon</v>
      </c>
      <c r="H201" t="str">
        <f t="shared" si="26"/>
        <v>Weekday</v>
      </c>
      <c r="I201" s="2">
        <v>0.76041666666666663</v>
      </c>
      <c r="J201" s="2">
        <f t="shared" si="27"/>
        <v>0.76041666666666663</v>
      </c>
      <c r="K201" t="s">
        <v>452</v>
      </c>
      <c r="L201" t="s">
        <v>31</v>
      </c>
      <c r="M201" t="s">
        <v>32</v>
      </c>
      <c r="N201" t="s">
        <v>33</v>
      </c>
      <c r="O201" t="s">
        <v>21</v>
      </c>
      <c r="P201">
        <v>4</v>
      </c>
      <c r="Q201">
        <v>39</v>
      </c>
      <c r="R201">
        <v>156</v>
      </c>
      <c r="S201">
        <v>5</v>
      </c>
      <c r="T201">
        <v>151</v>
      </c>
      <c r="U201" t="s">
        <v>34</v>
      </c>
      <c r="V201">
        <v>17</v>
      </c>
      <c r="W201" t="s">
        <v>35</v>
      </c>
      <c r="X201">
        <v>2</v>
      </c>
    </row>
    <row r="202" spans="1:24" x14ac:dyDescent="0.3">
      <c r="A202" t="s">
        <v>453</v>
      </c>
      <c r="B202" s="1">
        <v>45662</v>
      </c>
      <c r="C202">
        <f t="shared" si="23"/>
        <v>5</v>
      </c>
      <c r="D202">
        <f t="shared" si="24"/>
        <v>1</v>
      </c>
      <c r="E202">
        <f t="shared" si="25"/>
        <v>2025</v>
      </c>
      <c r="F202" t="str">
        <f t="shared" si="21"/>
        <v>Jan</v>
      </c>
      <c r="G202" t="str">
        <f t="shared" si="22"/>
        <v>Sun</v>
      </c>
      <c r="H202" t="str">
        <f t="shared" si="26"/>
        <v>Weekend</v>
      </c>
      <c r="I202" s="2">
        <v>0.37847222222222221</v>
      </c>
      <c r="J202" s="2">
        <f t="shared" si="27"/>
        <v>0.37847222222222221</v>
      </c>
      <c r="K202" t="s">
        <v>454</v>
      </c>
      <c r="L202" t="s">
        <v>90</v>
      </c>
      <c r="M202" t="s">
        <v>19</v>
      </c>
      <c r="N202" t="s">
        <v>93</v>
      </c>
      <c r="O202" t="s">
        <v>94</v>
      </c>
      <c r="P202">
        <v>2</v>
      </c>
      <c r="Q202">
        <v>32</v>
      </c>
      <c r="R202">
        <v>64</v>
      </c>
      <c r="S202">
        <v>10</v>
      </c>
      <c r="T202">
        <v>54</v>
      </c>
      <c r="U202" t="s">
        <v>64</v>
      </c>
      <c r="V202">
        <v>57</v>
      </c>
      <c r="W202" t="s">
        <v>35</v>
      </c>
      <c r="X202">
        <v>3</v>
      </c>
    </row>
    <row r="203" spans="1:24" x14ac:dyDescent="0.3">
      <c r="A203" t="s">
        <v>455</v>
      </c>
      <c r="B203" s="1">
        <v>45659</v>
      </c>
      <c r="C203">
        <f t="shared" si="23"/>
        <v>2</v>
      </c>
      <c r="D203">
        <f t="shared" si="24"/>
        <v>1</v>
      </c>
      <c r="E203">
        <f t="shared" si="25"/>
        <v>2025</v>
      </c>
      <c r="F203" t="str">
        <f t="shared" si="21"/>
        <v>Jan</v>
      </c>
      <c r="G203" t="str">
        <f t="shared" si="22"/>
        <v>Thu</v>
      </c>
      <c r="H203" t="str">
        <f t="shared" si="26"/>
        <v>Weekday</v>
      </c>
      <c r="I203" s="2">
        <v>0.76041666666666663</v>
      </c>
      <c r="J203" s="2">
        <f t="shared" si="27"/>
        <v>0.76041666666666663</v>
      </c>
      <c r="K203" t="s">
        <v>456</v>
      </c>
      <c r="L203" t="s">
        <v>52</v>
      </c>
      <c r="M203" t="s">
        <v>32</v>
      </c>
      <c r="N203" t="s">
        <v>55</v>
      </c>
      <c r="O203" t="s">
        <v>21</v>
      </c>
      <c r="P203">
        <v>1</v>
      </c>
      <c r="Q203">
        <v>13</v>
      </c>
      <c r="R203">
        <v>13</v>
      </c>
      <c r="S203">
        <v>0</v>
      </c>
      <c r="T203">
        <v>13</v>
      </c>
      <c r="U203" t="s">
        <v>22</v>
      </c>
      <c r="V203">
        <v>30</v>
      </c>
      <c r="W203" t="s">
        <v>35</v>
      </c>
      <c r="X203">
        <v>3</v>
      </c>
    </row>
    <row r="204" spans="1:24" x14ac:dyDescent="0.3">
      <c r="A204" t="s">
        <v>457</v>
      </c>
      <c r="B204" s="1">
        <v>45662</v>
      </c>
      <c r="C204">
        <f t="shared" si="23"/>
        <v>5</v>
      </c>
      <c r="D204">
        <f t="shared" si="24"/>
        <v>1</v>
      </c>
      <c r="E204">
        <f t="shared" si="25"/>
        <v>2025</v>
      </c>
      <c r="F204" t="str">
        <f t="shared" si="21"/>
        <v>Jan</v>
      </c>
      <c r="G204" t="str">
        <f t="shared" si="22"/>
        <v>Sun</v>
      </c>
      <c r="H204" t="str">
        <f t="shared" si="26"/>
        <v>Weekend</v>
      </c>
      <c r="I204" s="2">
        <v>0.76041666666666663</v>
      </c>
      <c r="J204" s="2">
        <f t="shared" si="27"/>
        <v>0.76041666666666663</v>
      </c>
      <c r="K204" t="s">
        <v>458</v>
      </c>
      <c r="L204" t="s">
        <v>49</v>
      </c>
      <c r="M204" t="s">
        <v>59</v>
      </c>
      <c r="N204" t="s">
        <v>55</v>
      </c>
      <c r="O204" t="s">
        <v>21</v>
      </c>
      <c r="P204">
        <v>3</v>
      </c>
      <c r="Q204">
        <v>13</v>
      </c>
      <c r="R204">
        <v>39</v>
      </c>
      <c r="S204">
        <v>0</v>
      </c>
      <c r="T204">
        <v>39</v>
      </c>
      <c r="U204" t="s">
        <v>42</v>
      </c>
      <c r="V204">
        <v>15</v>
      </c>
      <c r="W204" t="s">
        <v>23</v>
      </c>
      <c r="X204">
        <v>1</v>
      </c>
    </row>
    <row r="205" spans="1:24" x14ac:dyDescent="0.3">
      <c r="A205" t="s">
        <v>459</v>
      </c>
      <c r="B205" s="1">
        <v>45666</v>
      </c>
      <c r="C205">
        <f t="shared" si="23"/>
        <v>9</v>
      </c>
      <c r="D205">
        <f t="shared" si="24"/>
        <v>1</v>
      </c>
      <c r="E205">
        <f t="shared" si="25"/>
        <v>2025</v>
      </c>
      <c r="F205" t="str">
        <f t="shared" si="21"/>
        <v>Jan</v>
      </c>
      <c r="G205" t="str">
        <f t="shared" si="22"/>
        <v>Thu</v>
      </c>
      <c r="H205" t="str">
        <f t="shared" si="26"/>
        <v>Weekday</v>
      </c>
      <c r="I205" s="2">
        <v>0.37847222222222221</v>
      </c>
      <c r="J205" s="2">
        <f t="shared" si="27"/>
        <v>0.37847222222222221</v>
      </c>
      <c r="K205" t="s">
        <v>460</v>
      </c>
      <c r="L205" t="s">
        <v>31</v>
      </c>
      <c r="M205" t="s">
        <v>19</v>
      </c>
      <c r="N205" t="s">
        <v>105</v>
      </c>
      <c r="O205" t="s">
        <v>106</v>
      </c>
      <c r="P205">
        <v>4</v>
      </c>
      <c r="Q205">
        <v>65</v>
      </c>
      <c r="R205">
        <v>260</v>
      </c>
      <c r="S205">
        <v>10</v>
      </c>
      <c r="T205">
        <v>250</v>
      </c>
      <c r="U205" t="s">
        <v>42</v>
      </c>
      <c r="V205">
        <v>39</v>
      </c>
      <c r="W205" t="s">
        <v>35</v>
      </c>
      <c r="X205">
        <v>0</v>
      </c>
    </row>
    <row r="206" spans="1:24" x14ac:dyDescent="0.3">
      <c r="A206" t="s">
        <v>461</v>
      </c>
      <c r="B206" s="1">
        <v>45667</v>
      </c>
      <c r="C206">
        <f t="shared" si="23"/>
        <v>10</v>
      </c>
      <c r="D206">
        <f t="shared" si="24"/>
        <v>1</v>
      </c>
      <c r="E206">
        <f t="shared" si="25"/>
        <v>2025</v>
      </c>
      <c r="F206" t="str">
        <f t="shared" si="21"/>
        <v>Jan</v>
      </c>
      <c r="G206" t="str">
        <f t="shared" si="22"/>
        <v>Fri</v>
      </c>
      <c r="H206" t="str">
        <f t="shared" si="26"/>
        <v>Weekday</v>
      </c>
      <c r="I206" s="2">
        <v>0.4375</v>
      </c>
      <c r="J206" s="2">
        <f t="shared" si="27"/>
        <v>0.4375</v>
      </c>
      <c r="K206" t="s">
        <v>462</v>
      </c>
      <c r="L206" t="s">
        <v>31</v>
      </c>
      <c r="M206" t="s">
        <v>26</v>
      </c>
      <c r="N206" t="s">
        <v>40</v>
      </c>
      <c r="O206" t="s">
        <v>41</v>
      </c>
      <c r="P206">
        <v>5</v>
      </c>
      <c r="Q206">
        <v>36</v>
      </c>
      <c r="R206">
        <v>180</v>
      </c>
      <c r="S206">
        <v>0</v>
      </c>
      <c r="T206">
        <v>180</v>
      </c>
      <c r="U206" t="s">
        <v>42</v>
      </c>
      <c r="V206">
        <v>59</v>
      </c>
      <c r="W206" t="s">
        <v>23</v>
      </c>
      <c r="X206">
        <v>3</v>
      </c>
    </row>
    <row r="207" spans="1:24" x14ac:dyDescent="0.3">
      <c r="A207" t="s">
        <v>463</v>
      </c>
      <c r="B207" s="1">
        <v>45664</v>
      </c>
      <c r="C207">
        <f t="shared" si="23"/>
        <v>7</v>
      </c>
      <c r="D207">
        <f t="shared" si="24"/>
        <v>1</v>
      </c>
      <c r="E207">
        <f t="shared" si="25"/>
        <v>2025</v>
      </c>
      <c r="F207" t="str">
        <f t="shared" si="21"/>
        <v>Jan</v>
      </c>
      <c r="G207" t="str">
        <f t="shared" si="22"/>
        <v>Tue</v>
      </c>
      <c r="H207" t="str">
        <f t="shared" si="26"/>
        <v>Weekday</v>
      </c>
      <c r="I207" s="2">
        <v>0.37847222222222221</v>
      </c>
      <c r="J207" s="2">
        <f t="shared" si="27"/>
        <v>0.37847222222222221</v>
      </c>
      <c r="K207" t="s">
        <v>464</v>
      </c>
      <c r="L207" t="s">
        <v>90</v>
      </c>
      <c r="M207" t="s">
        <v>19</v>
      </c>
      <c r="N207" t="s">
        <v>79</v>
      </c>
      <c r="O207" t="s">
        <v>80</v>
      </c>
      <c r="P207">
        <v>6</v>
      </c>
      <c r="Q207">
        <v>39</v>
      </c>
      <c r="R207">
        <v>234</v>
      </c>
      <c r="S207">
        <v>10</v>
      </c>
      <c r="T207">
        <v>224</v>
      </c>
      <c r="U207" t="s">
        <v>42</v>
      </c>
      <c r="V207">
        <v>15</v>
      </c>
      <c r="W207" t="s">
        <v>35</v>
      </c>
      <c r="X207">
        <v>1</v>
      </c>
    </row>
    <row r="208" spans="1:24" x14ac:dyDescent="0.3">
      <c r="A208" t="s">
        <v>465</v>
      </c>
      <c r="B208" s="1">
        <v>45664</v>
      </c>
      <c r="C208">
        <f t="shared" si="23"/>
        <v>7</v>
      </c>
      <c r="D208">
        <f t="shared" si="24"/>
        <v>1</v>
      </c>
      <c r="E208">
        <f t="shared" si="25"/>
        <v>2025</v>
      </c>
      <c r="F208" t="str">
        <f t="shared" si="21"/>
        <v>Jan</v>
      </c>
      <c r="G208" t="str">
        <f t="shared" si="22"/>
        <v>Tue</v>
      </c>
      <c r="H208" t="str">
        <f t="shared" si="26"/>
        <v>Weekday</v>
      </c>
      <c r="I208" s="2">
        <v>0.78125</v>
      </c>
      <c r="J208" s="2">
        <f t="shared" si="27"/>
        <v>0.78125</v>
      </c>
      <c r="K208" t="s">
        <v>466</v>
      </c>
      <c r="L208" t="s">
        <v>31</v>
      </c>
      <c r="M208" t="s">
        <v>69</v>
      </c>
      <c r="N208" t="s">
        <v>46</v>
      </c>
      <c r="O208" t="s">
        <v>28</v>
      </c>
      <c r="P208">
        <v>3</v>
      </c>
      <c r="Q208">
        <v>89</v>
      </c>
      <c r="R208">
        <v>267</v>
      </c>
      <c r="S208">
        <v>0</v>
      </c>
      <c r="T208">
        <v>267</v>
      </c>
      <c r="U208" t="s">
        <v>64</v>
      </c>
      <c r="V208">
        <v>33</v>
      </c>
      <c r="W208" t="s">
        <v>35</v>
      </c>
      <c r="X208">
        <v>0</v>
      </c>
    </row>
    <row r="209" spans="1:24" x14ac:dyDescent="0.3">
      <c r="A209" t="s">
        <v>467</v>
      </c>
      <c r="B209" s="1">
        <v>45665</v>
      </c>
      <c r="C209">
        <f t="shared" si="23"/>
        <v>8</v>
      </c>
      <c r="D209">
        <f t="shared" si="24"/>
        <v>1</v>
      </c>
      <c r="E209">
        <f t="shared" si="25"/>
        <v>2025</v>
      </c>
      <c r="F209" t="str">
        <f t="shared" si="21"/>
        <v>Jan</v>
      </c>
      <c r="G209" t="str">
        <f t="shared" si="22"/>
        <v>Wed</v>
      </c>
      <c r="H209" t="str">
        <f t="shared" si="26"/>
        <v>Weekday</v>
      </c>
      <c r="I209" s="2">
        <v>0.78125</v>
      </c>
      <c r="J209" s="2">
        <f t="shared" si="27"/>
        <v>0.78125</v>
      </c>
      <c r="K209" t="s">
        <v>468</v>
      </c>
      <c r="L209" t="s">
        <v>31</v>
      </c>
      <c r="M209" t="s">
        <v>26</v>
      </c>
      <c r="N209" t="s">
        <v>33</v>
      </c>
      <c r="O209" t="s">
        <v>21</v>
      </c>
      <c r="P209">
        <v>6</v>
      </c>
      <c r="Q209">
        <v>57</v>
      </c>
      <c r="R209">
        <v>342</v>
      </c>
      <c r="S209">
        <v>0</v>
      </c>
      <c r="T209">
        <v>342</v>
      </c>
      <c r="U209" t="s">
        <v>64</v>
      </c>
      <c r="V209">
        <v>15</v>
      </c>
      <c r="W209" t="s">
        <v>35</v>
      </c>
      <c r="X209">
        <v>3</v>
      </c>
    </row>
    <row r="210" spans="1:24" x14ac:dyDescent="0.3">
      <c r="A210" t="s">
        <v>469</v>
      </c>
      <c r="B210" s="1">
        <v>45663</v>
      </c>
      <c r="C210">
        <f t="shared" si="23"/>
        <v>6</v>
      </c>
      <c r="D210">
        <f t="shared" si="24"/>
        <v>1</v>
      </c>
      <c r="E210">
        <f t="shared" si="25"/>
        <v>2025</v>
      </c>
      <c r="F210" t="str">
        <f t="shared" si="21"/>
        <v>Jan</v>
      </c>
      <c r="G210" t="str">
        <f t="shared" si="22"/>
        <v>Mon</v>
      </c>
      <c r="H210" t="str">
        <f t="shared" si="26"/>
        <v>Weekday</v>
      </c>
      <c r="I210" s="2">
        <v>0.4375</v>
      </c>
      <c r="J210" s="2">
        <f t="shared" si="27"/>
        <v>0.4375</v>
      </c>
      <c r="K210" t="s">
        <v>470</v>
      </c>
      <c r="L210" t="s">
        <v>31</v>
      </c>
      <c r="M210" t="s">
        <v>45</v>
      </c>
      <c r="N210" t="s">
        <v>20</v>
      </c>
      <c r="O210" t="s">
        <v>21</v>
      </c>
      <c r="P210">
        <v>4</v>
      </c>
      <c r="Q210">
        <v>54</v>
      </c>
      <c r="R210">
        <v>216</v>
      </c>
      <c r="S210">
        <v>0</v>
      </c>
      <c r="T210">
        <v>216</v>
      </c>
      <c r="U210" t="s">
        <v>64</v>
      </c>
      <c r="V210">
        <v>16</v>
      </c>
      <c r="W210" t="s">
        <v>35</v>
      </c>
      <c r="X210">
        <v>2</v>
      </c>
    </row>
    <row r="211" spans="1:24" x14ac:dyDescent="0.3">
      <c r="A211" t="s">
        <v>471</v>
      </c>
      <c r="B211" s="1">
        <v>45663</v>
      </c>
      <c r="C211">
        <f t="shared" si="23"/>
        <v>6</v>
      </c>
      <c r="D211">
        <f t="shared" si="24"/>
        <v>1</v>
      </c>
      <c r="E211">
        <f t="shared" si="25"/>
        <v>2025</v>
      </c>
      <c r="F211" t="str">
        <f t="shared" si="21"/>
        <v>Jan</v>
      </c>
      <c r="G211" t="str">
        <f t="shared" si="22"/>
        <v>Mon</v>
      </c>
      <c r="H211" t="str">
        <f t="shared" si="26"/>
        <v>Weekday</v>
      </c>
      <c r="I211" s="2">
        <v>0.78125</v>
      </c>
      <c r="J211" s="2">
        <f t="shared" si="27"/>
        <v>0.78125</v>
      </c>
      <c r="K211" t="s">
        <v>472</v>
      </c>
      <c r="L211" t="s">
        <v>38</v>
      </c>
      <c r="M211" t="s">
        <v>39</v>
      </c>
      <c r="N211" t="s">
        <v>105</v>
      </c>
      <c r="O211" t="s">
        <v>106</v>
      </c>
      <c r="P211">
        <v>5</v>
      </c>
      <c r="Q211">
        <v>55</v>
      </c>
      <c r="R211">
        <v>275</v>
      </c>
      <c r="S211">
        <v>0</v>
      </c>
      <c r="T211">
        <v>275</v>
      </c>
      <c r="U211" t="s">
        <v>64</v>
      </c>
      <c r="V211">
        <v>13</v>
      </c>
      <c r="W211" t="s">
        <v>35</v>
      </c>
      <c r="X211">
        <v>2</v>
      </c>
    </row>
    <row r="212" spans="1:24" x14ac:dyDescent="0.3">
      <c r="A212" t="s">
        <v>473</v>
      </c>
      <c r="B212" s="1">
        <v>45663</v>
      </c>
      <c r="C212">
        <f t="shared" si="23"/>
        <v>6</v>
      </c>
      <c r="D212">
        <f t="shared" si="24"/>
        <v>1</v>
      </c>
      <c r="E212">
        <f t="shared" si="25"/>
        <v>2025</v>
      </c>
      <c r="F212" t="str">
        <f t="shared" si="21"/>
        <v>Jan</v>
      </c>
      <c r="G212" t="str">
        <f t="shared" si="22"/>
        <v>Mon</v>
      </c>
      <c r="H212" t="str">
        <f t="shared" si="26"/>
        <v>Weekday</v>
      </c>
      <c r="I212" s="2">
        <v>0.37847222222222221</v>
      </c>
      <c r="J212" s="2">
        <f t="shared" si="27"/>
        <v>0.37847222222222221</v>
      </c>
      <c r="K212" t="s">
        <v>474</v>
      </c>
      <c r="L212" t="s">
        <v>38</v>
      </c>
      <c r="M212" t="s">
        <v>26</v>
      </c>
      <c r="N212" t="s">
        <v>33</v>
      </c>
      <c r="O212" t="s">
        <v>21</v>
      </c>
      <c r="P212">
        <v>5</v>
      </c>
      <c r="Q212">
        <v>10</v>
      </c>
      <c r="R212">
        <v>50</v>
      </c>
      <c r="S212">
        <v>0</v>
      </c>
      <c r="T212">
        <v>50</v>
      </c>
      <c r="U212" t="s">
        <v>34</v>
      </c>
      <c r="V212">
        <v>40</v>
      </c>
      <c r="W212" t="s">
        <v>23</v>
      </c>
      <c r="X212">
        <v>0</v>
      </c>
    </row>
    <row r="213" spans="1:24" x14ac:dyDescent="0.3">
      <c r="A213" t="s">
        <v>475</v>
      </c>
      <c r="B213" s="1">
        <v>45667</v>
      </c>
      <c r="C213">
        <f t="shared" si="23"/>
        <v>10</v>
      </c>
      <c r="D213">
        <f t="shared" si="24"/>
        <v>1</v>
      </c>
      <c r="E213">
        <f t="shared" si="25"/>
        <v>2025</v>
      </c>
      <c r="F213" t="str">
        <f t="shared" si="21"/>
        <v>Jan</v>
      </c>
      <c r="G213" t="str">
        <f t="shared" si="22"/>
        <v>Fri</v>
      </c>
      <c r="H213" t="str">
        <f t="shared" si="26"/>
        <v>Weekday</v>
      </c>
      <c r="I213" s="2">
        <v>0.78125</v>
      </c>
      <c r="J213" s="2">
        <f t="shared" si="27"/>
        <v>0.78125</v>
      </c>
      <c r="K213" t="s">
        <v>476</v>
      </c>
      <c r="L213" t="s">
        <v>58</v>
      </c>
      <c r="M213" t="s">
        <v>19</v>
      </c>
      <c r="N213" t="s">
        <v>33</v>
      </c>
      <c r="O213" t="s">
        <v>21</v>
      </c>
      <c r="P213">
        <v>4</v>
      </c>
      <c r="Q213">
        <v>74</v>
      </c>
      <c r="R213">
        <v>296</v>
      </c>
      <c r="S213">
        <v>10</v>
      </c>
      <c r="T213">
        <v>286</v>
      </c>
      <c r="U213" t="s">
        <v>64</v>
      </c>
      <c r="V213">
        <v>30</v>
      </c>
      <c r="W213" t="s">
        <v>35</v>
      </c>
      <c r="X213">
        <v>4</v>
      </c>
    </row>
    <row r="214" spans="1:24" x14ac:dyDescent="0.3">
      <c r="A214" t="s">
        <v>477</v>
      </c>
      <c r="B214" s="1">
        <v>45664</v>
      </c>
      <c r="C214">
        <f t="shared" si="23"/>
        <v>7</v>
      </c>
      <c r="D214">
        <f t="shared" si="24"/>
        <v>1</v>
      </c>
      <c r="E214">
        <f t="shared" si="25"/>
        <v>2025</v>
      </c>
      <c r="F214" t="str">
        <f t="shared" si="21"/>
        <v>Jan</v>
      </c>
      <c r="G214" t="str">
        <f t="shared" si="22"/>
        <v>Tue</v>
      </c>
      <c r="H214" t="str">
        <f t="shared" si="26"/>
        <v>Weekday</v>
      </c>
      <c r="I214" s="2">
        <v>0.37847222222222221</v>
      </c>
      <c r="J214" s="2">
        <f t="shared" si="27"/>
        <v>0.37847222222222221</v>
      </c>
      <c r="K214" t="s">
        <v>478</v>
      </c>
      <c r="L214" t="s">
        <v>58</v>
      </c>
      <c r="M214" t="s">
        <v>19</v>
      </c>
      <c r="N214" t="s">
        <v>55</v>
      </c>
      <c r="O214" t="s">
        <v>21</v>
      </c>
      <c r="P214">
        <v>5</v>
      </c>
      <c r="Q214">
        <v>60</v>
      </c>
      <c r="R214">
        <v>300</v>
      </c>
      <c r="S214">
        <v>0</v>
      </c>
      <c r="T214">
        <v>300</v>
      </c>
      <c r="U214" t="s">
        <v>34</v>
      </c>
      <c r="V214">
        <v>47</v>
      </c>
      <c r="W214" t="s">
        <v>23</v>
      </c>
      <c r="X214">
        <v>3</v>
      </c>
    </row>
    <row r="215" spans="1:24" x14ac:dyDescent="0.3">
      <c r="A215" t="s">
        <v>479</v>
      </c>
      <c r="B215" s="1">
        <v>45659</v>
      </c>
      <c r="C215">
        <f t="shared" si="23"/>
        <v>2</v>
      </c>
      <c r="D215">
        <f t="shared" si="24"/>
        <v>1</v>
      </c>
      <c r="E215">
        <f t="shared" si="25"/>
        <v>2025</v>
      </c>
      <c r="F215" t="str">
        <f t="shared" si="21"/>
        <v>Jan</v>
      </c>
      <c r="G215" t="str">
        <f t="shared" si="22"/>
        <v>Thu</v>
      </c>
      <c r="H215" t="str">
        <f t="shared" si="26"/>
        <v>Weekday</v>
      </c>
      <c r="I215" s="2">
        <v>0.4375</v>
      </c>
      <c r="J215" s="2">
        <f t="shared" si="27"/>
        <v>0.4375</v>
      </c>
      <c r="K215" t="s">
        <v>480</v>
      </c>
      <c r="L215" t="s">
        <v>31</v>
      </c>
      <c r="M215" t="s">
        <v>78</v>
      </c>
      <c r="N215" t="s">
        <v>46</v>
      </c>
      <c r="O215" t="s">
        <v>28</v>
      </c>
      <c r="P215">
        <v>4</v>
      </c>
      <c r="Q215">
        <v>38</v>
      </c>
      <c r="R215">
        <v>152</v>
      </c>
      <c r="S215">
        <v>10</v>
      </c>
      <c r="T215">
        <v>142</v>
      </c>
      <c r="U215" t="s">
        <v>64</v>
      </c>
      <c r="V215">
        <v>41</v>
      </c>
      <c r="W215" t="s">
        <v>35</v>
      </c>
      <c r="X215">
        <v>5</v>
      </c>
    </row>
    <row r="216" spans="1:24" x14ac:dyDescent="0.3">
      <c r="A216" t="s">
        <v>481</v>
      </c>
      <c r="B216" s="1">
        <v>45666</v>
      </c>
      <c r="C216">
        <f t="shared" si="23"/>
        <v>9</v>
      </c>
      <c r="D216">
        <f t="shared" si="24"/>
        <v>1</v>
      </c>
      <c r="E216">
        <f t="shared" si="25"/>
        <v>2025</v>
      </c>
      <c r="F216" t="str">
        <f t="shared" si="21"/>
        <v>Jan</v>
      </c>
      <c r="G216" t="str">
        <f t="shared" si="22"/>
        <v>Thu</v>
      </c>
      <c r="H216" t="str">
        <f t="shared" si="26"/>
        <v>Weekday</v>
      </c>
      <c r="I216" s="2">
        <v>0.78125</v>
      </c>
      <c r="J216" s="2">
        <f t="shared" si="27"/>
        <v>0.78125</v>
      </c>
      <c r="K216" t="s">
        <v>482</v>
      </c>
      <c r="L216" t="s">
        <v>31</v>
      </c>
      <c r="M216" t="s">
        <v>39</v>
      </c>
      <c r="N216" t="s">
        <v>46</v>
      </c>
      <c r="O216" t="s">
        <v>28</v>
      </c>
      <c r="P216">
        <v>6</v>
      </c>
      <c r="Q216">
        <v>78</v>
      </c>
      <c r="R216">
        <v>468</v>
      </c>
      <c r="S216">
        <v>5</v>
      </c>
      <c r="T216">
        <v>463</v>
      </c>
      <c r="U216" t="s">
        <v>22</v>
      </c>
      <c r="V216">
        <v>53</v>
      </c>
      <c r="W216" t="s">
        <v>35</v>
      </c>
      <c r="X216">
        <v>0</v>
      </c>
    </row>
    <row r="217" spans="1:24" x14ac:dyDescent="0.3">
      <c r="A217" t="s">
        <v>483</v>
      </c>
      <c r="B217" s="1">
        <v>45664</v>
      </c>
      <c r="C217">
        <f t="shared" si="23"/>
        <v>7</v>
      </c>
      <c r="D217">
        <f t="shared" si="24"/>
        <v>1</v>
      </c>
      <c r="E217">
        <f t="shared" si="25"/>
        <v>2025</v>
      </c>
      <c r="F217" t="str">
        <f t="shared" si="21"/>
        <v>Jan</v>
      </c>
      <c r="G217" t="str">
        <f t="shared" si="22"/>
        <v>Tue</v>
      </c>
      <c r="H217" t="str">
        <f t="shared" si="26"/>
        <v>Weekday</v>
      </c>
      <c r="I217" s="2">
        <v>0.76041666666666663</v>
      </c>
      <c r="J217" s="2">
        <f t="shared" si="27"/>
        <v>0.76041666666666663</v>
      </c>
      <c r="K217" t="s">
        <v>484</v>
      </c>
      <c r="L217" t="s">
        <v>31</v>
      </c>
      <c r="M217" t="s">
        <v>45</v>
      </c>
      <c r="N217" t="s">
        <v>27</v>
      </c>
      <c r="O217" t="s">
        <v>28</v>
      </c>
      <c r="P217">
        <v>5</v>
      </c>
      <c r="Q217">
        <v>42</v>
      </c>
      <c r="R217">
        <v>210</v>
      </c>
      <c r="S217">
        <v>5</v>
      </c>
      <c r="T217">
        <v>205</v>
      </c>
      <c r="U217" t="s">
        <v>42</v>
      </c>
      <c r="V217">
        <v>55</v>
      </c>
      <c r="W217" t="s">
        <v>35</v>
      </c>
      <c r="X217">
        <v>5</v>
      </c>
    </row>
    <row r="218" spans="1:24" x14ac:dyDescent="0.3">
      <c r="A218" t="s">
        <v>485</v>
      </c>
      <c r="B218" s="1">
        <v>45668</v>
      </c>
      <c r="C218">
        <f t="shared" si="23"/>
        <v>11</v>
      </c>
      <c r="D218">
        <f t="shared" si="24"/>
        <v>1</v>
      </c>
      <c r="E218">
        <f t="shared" si="25"/>
        <v>2025</v>
      </c>
      <c r="F218" t="str">
        <f t="shared" si="21"/>
        <v>Jan</v>
      </c>
      <c r="G218" t="str">
        <f t="shared" si="22"/>
        <v>Sat</v>
      </c>
      <c r="H218" t="str">
        <f t="shared" si="26"/>
        <v>Weekend</v>
      </c>
      <c r="I218" s="2">
        <v>0.76041666666666663</v>
      </c>
      <c r="J218" s="2">
        <f t="shared" si="27"/>
        <v>0.76041666666666663</v>
      </c>
      <c r="K218" t="s">
        <v>486</v>
      </c>
      <c r="L218" t="s">
        <v>38</v>
      </c>
      <c r="M218" t="s">
        <v>78</v>
      </c>
      <c r="N218" t="s">
        <v>105</v>
      </c>
      <c r="O218" t="s">
        <v>106</v>
      </c>
      <c r="P218">
        <v>2</v>
      </c>
      <c r="Q218">
        <v>117</v>
      </c>
      <c r="R218">
        <v>234</v>
      </c>
      <c r="S218">
        <v>10</v>
      </c>
      <c r="T218">
        <v>224</v>
      </c>
      <c r="U218" t="s">
        <v>34</v>
      </c>
      <c r="V218">
        <v>56</v>
      </c>
      <c r="W218" t="s">
        <v>35</v>
      </c>
      <c r="X218">
        <v>1</v>
      </c>
    </row>
    <row r="219" spans="1:24" x14ac:dyDescent="0.3">
      <c r="A219" t="s">
        <v>487</v>
      </c>
      <c r="B219" s="1">
        <v>45660</v>
      </c>
      <c r="C219">
        <f t="shared" si="23"/>
        <v>3</v>
      </c>
      <c r="D219">
        <f t="shared" si="24"/>
        <v>1</v>
      </c>
      <c r="E219">
        <f t="shared" si="25"/>
        <v>2025</v>
      </c>
      <c r="F219" t="str">
        <f t="shared" si="21"/>
        <v>Jan</v>
      </c>
      <c r="G219" t="str">
        <f t="shared" si="22"/>
        <v>Fri</v>
      </c>
      <c r="H219" t="str">
        <f t="shared" si="26"/>
        <v>Weekday</v>
      </c>
      <c r="I219" s="2">
        <v>0.78125</v>
      </c>
      <c r="J219" s="2">
        <f t="shared" si="27"/>
        <v>0.78125</v>
      </c>
      <c r="K219" t="s">
        <v>488</v>
      </c>
      <c r="L219" t="s">
        <v>31</v>
      </c>
      <c r="M219" t="s">
        <v>26</v>
      </c>
      <c r="N219" t="s">
        <v>33</v>
      </c>
      <c r="O219" t="s">
        <v>21</v>
      </c>
      <c r="P219">
        <v>4</v>
      </c>
      <c r="Q219">
        <v>17</v>
      </c>
      <c r="R219">
        <v>68</v>
      </c>
      <c r="S219">
        <v>5</v>
      </c>
      <c r="T219">
        <v>63</v>
      </c>
      <c r="U219" t="s">
        <v>64</v>
      </c>
      <c r="V219">
        <v>46</v>
      </c>
      <c r="W219" t="s">
        <v>23</v>
      </c>
      <c r="X219">
        <v>4</v>
      </c>
    </row>
    <row r="220" spans="1:24" x14ac:dyDescent="0.3">
      <c r="A220" t="s">
        <v>489</v>
      </c>
      <c r="B220" s="1">
        <v>45664</v>
      </c>
      <c r="C220">
        <f t="shared" si="23"/>
        <v>7</v>
      </c>
      <c r="D220">
        <f t="shared" si="24"/>
        <v>1</v>
      </c>
      <c r="E220">
        <f t="shared" si="25"/>
        <v>2025</v>
      </c>
      <c r="F220" t="str">
        <f t="shared" si="21"/>
        <v>Jan</v>
      </c>
      <c r="G220" t="str">
        <f t="shared" si="22"/>
        <v>Tue</v>
      </c>
      <c r="H220" t="str">
        <f t="shared" si="26"/>
        <v>Weekday</v>
      </c>
      <c r="I220" s="2">
        <v>0.76041666666666663</v>
      </c>
      <c r="J220" s="2">
        <f t="shared" si="27"/>
        <v>0.76041666666666663</v>
      </c>
      <c r="K220" t="s">
        <v>490</v>
      </c>
      <c r="L220" t="s">
        <v>87</v>
      </c>
      <c r="M220" t="s">
        <v>45</v>
      </c>
      <c r="N220" t="s">
        <v>40</v>
      </c>
      <c r="O220" t="s">
        <v>41</v>
      </c>
      <c r="P220">
        <v>1</v>
      </c>
      <c r="Q220">
        <v>68</v>
      </c>
      <c r="R220">
        <v>68</v>
      </c>
      <c r="S220">
        <v>5</v>
      </c>
      <c r="T220">
        <v>63</v>
      </c>
      <c r="U220" t="s">
        <v>64</v>
      </c>
      <c r="V220">
        <v>39</v>
      </c>
      <c r="W220" t="s">
        <v>23</v>
      </c>
      <c r="X220">
        <v>3</v>
      </c>
    </row>
    <row r="221" spans="1:24" x14ac:dyDescent="0.3">
      <c r="A221" t="s">
        <v>491</v>
      </c>
      <c r="B221" s="1">
        <v>45665</v>
      </c>
      <c r="C221">
        <f t="shared" si="23"/>
        <v>8</v>
      </c>
      <c r="D221">
        <f t="shared" si="24"/>
        <v>1</v>
      </c>
      <c r="E221">
        <f t="shared" si="25"/>
        <v>2025</v>
      </c>
      <c r="F221" t="str">
        <f t="shared" si="21"/>
        <v>Jan</v>
      </c>
      <c r="G221" t="str">
        <f t="shared" si="22"/>
        <v>Wed</v>
      </c>
      <c r="H221" t="str">
        <f t="shared" si="26"/>
        <v>Weekday</v>
      </c>
      <c r="I221" s="2">
        <v>0.37847222222222221</v>
      </c>
      <c r="J221" s="2">
        <f t="shared" si="27"/>
        <v>0.37847222222222221</v>
      </c>
      <c r="K221" t="s">
        <v>492</v>
      </c>
      <c r="L221" t="s">
        <v>38</v>
      </c>
      <c r="M221" t="s">
        <v>45</v>
      </c>
      <c r="N221" t="s">
        <v>105</v>
      </c>
      <c r="O221" t="s">
        <v>106</v>
      </c>
      <c r="P221">
        <v>2</v>
      </c>
      <c r="Q221">
        <v>94</v>
      </c>
      <c r="R221">
        <v>188</v>
      </c>
      <c r="S221">
        <v>0</v>
      </c>
      <c r="T221">
        <v>188</v>
      </c>
      <c r="U221" t="s">
        <v>64</v>
      </c>
      <c r="V221">
        <v>53</v>
      </c>
      <c r="W221" t="s">
        <v>35</v>
      </c>
      <c r="X221">
        <v>5</v>
      </c>
    </row>
    <row r="222" spans="1:24" x14ac:dyDescent="0.3">
      <c r="A222" t="s">
        <v>493</v>
      </c>
      <c r="B222" s="1">
        <v>45658</v>
      </c>
      <c r="C222">
        <f t="shared" si="23"/>
        <v>1</v>
      </c>
      <c r="D222">
        <f t="shared" si="24"/>
        <v>1</v>
      </c>
      <c r="E222">
        <f t="shared" si="25"/>
        <v>2025</v>
      </c>
      <c r="F222" t="str">
        <f t="shared" si="21"/>
        <v>Jan</v>
      </c>
      <c r="G222" t="str">
        <f t="shared" si="22"/>
        <v>Wed</v>
      </c>
      <c r="H222" t="str">
        <f t="shared" si="26"/>
        <v>Weekday</v>
      </c>
      <c r="I222" s="2">
        <v>0.78125</v>
      </c>
      <c r="J222" s="2">
        <f t="shared" si="27"/>
        <v>0.78125</v>
      </c>
      <c r="K222" t="s">
        <v>494</v>
      </c>
      <c r="L222" t="s">
        <v>31</v>
      </c>
      <c r="M222" t="s">
        <v>32</v>
      </c>
      <c r="N222" t="s">
        <v>20</v>
      </c>
      <c r="O222" t="s">
        <v>21</v>
      </c>
      <c r="P222">
        <v>6</v>
      </c>
      <c r="Q222">
        <v>67</v>
      </c>
      <c r="R222">
        <v>402</v>
      </c>
      <c r="S222">
        <v>0</v>
      </c>
      <c r="T222">
        <v>402</v>
      </c>
      <c r="U222" t="s">
        <v>64</v>
      </c>
      <c r="V222">
        <v>14</v>
      </c>
      <c r="W222" t="s">
        <v>23</v>
      </c>
      <c r="X222">
        <v>0</v>
      </c>
    </row>
    <row r="223" spans="1:24" x14ac:dyDescent="0.3">
      <c r="A223" t="s">
        <v>495</v>
      </c>
      <c r="B223" s="1">
        <v>45666</v>
      </c>
      <c r="C223">
        <f t="shared" si="23"/>
        <v>9</v>
      </c>
      <c r="D223">
        <f t="shared" si="24"/>
        <v>1</v>
      </c>
      <c r="E223">
        <f t="shared" si="25"/>
        <v>2025</v>
      </c>
      <c r="F223" t="str">
        <f t="shared" si="21"/>
        <v>Jan</v>
      </c>
      <c r="G223" t="str">
        <f t="shared" si="22"/>
        <v>Thu</v>
      </c>
      <c r="H223" t="str">
        <f t="shared" si="26"/>
        <v>Weekday</v>
      </c>
      <c r="I223" s="2">
        <v>0.76041666666666663</v>
      </c>
      <c r="J223" s="2">
        <f t="shared" si="27"/>
        <v>0.76041666666666663</v>
      </c>
      <c r="K223" t="s">
        <v>496</v>
      </c>
      <c r="L223" t="s">
        <v>87</v>
      </c>
      <c r="M223" t="s">
        <v>45</v>
      </c>
      <c r="N223" t="s">
        <v>105</v>
      </c>
      <c r="O223" t="s">
        <v>106</v>
      </c>
      <c r="P223">
        <v>3</v>
      </c>
      <c r="Q223">
        <v>84</v>
      </c>
      <c r="R223">
        <v>252</v>
      </c>
      <c r="S223">
        <v>0</v>
      </c>
      <c r="T223">
        <v>252</v>
      </c>
      <c r="U223" t="s">
        <v>34</v>
      </c>
      <c r="V223">
        <v>49</v>
      </c>
      <c r="W223" t="s">
        <v>35</v>
      </c>
      <c r="X223">
        <v>4</v>
      </c>
    </row>
    <row r="224" spans="1:24" x14ac:dyDescent="0.3">
      <c r="A224" t="s">
        <v>497</v>
      </c>
      <c r="B224" s="1">
        <v>45666</v>
      </c>
      <c r="C224">
        <f t="shared" si="23"/>
        <v>9</v>
      </c>
      <c r="D224">
        <f t="shared" si="24"/>
        <v>1</v>
      </c>
      <c r="E224">
        <f t="shared" si="25"/>
        <v>2025</v>
      </c>
      <c r="F224" t="str">
        <f t="shared" si="21"/>
        <v>Jan</v>
      </c>
      <c r="G224" t="str">
        <f t="shared" si="22"/>
        <v>Thu</v>
      </c>
      <c r="H224" t="str">
        <f t="shared" si="26"/>
        <v>Weekday</v>
      </c>
      <c r="I224" s="2">
        <v>0.78125</v>
      </c>
      <c r="J224" s="2">
        <f t="shared" si="27"/>
        <v>0.78125</v>
      </c>
      <c r="K224" t="s">
        <v>498</v>
      </c>
      <c r="L224" t="s">
        <v>87</v>
      </c>
      <c r="M224" t="s">
        <v>26</v>
      </c>
      <c r="N224" t="s">
        <v>20</v>
      </c>
      <c r="O224" t="s">
        <v>21</v>
      </c>
      <c r="P224">
        <v>5</v>
      </c>
      <c r="Q224">
        <v>113</v>
      </c>
      <c r="R224">
        <v>565</v>
      </c>
      <c r="S224">
        <v>0</v>
      </c>
      <c r="T224">
        <v>565</v>
      </c>
      <c r="U224" t="s">
        <v>34</v>
      </c>
      <c r="V224">
        <v>45</v>
      </c>
      <c r="W224" t="s">
        <v>23</v>
      </c>
      <c r="X224">
        <v>5</v>
      </c>
    </row>
    <row r="225" spans="1:24" x14ac:dyDescent="0.3">
      <c r="A225" t="s">
        <v>499</v>
      </c>
      <c r="B225" s="1">
        <v>45667</v>
      </c>
      <c r="C225">
        <f t="shared" si="23"/>
        <v>10</v>
      </c>
      <c r="D225">
        <f t="shared" si="24"/>
        <v>1</v>
      </c>
      <c r="E225">
        <f t="shared" si="25"/>
        <v>2025</v>
      </c>
      <c r="F225" t="str">
        <f t="shared" si="21"/>
        <v>Jan</v>
      </c>
      <c r="G225" t="str">
        <f t="shared" si="22"/>
        <v>Fri</v>
      </c>
      <c r="H225" t="str">
        <f t="shared" si="26"/>
        <v>Weekday</v>
      </c>
      <c r="I225" s="2">
        <v>0.4375</v>
      </c>
      <c r="J225" s="2">
        <f t="shared" si="27"/>
        <v>0.4375</v>
      </c>
      <c r="K225" t="s">
        <v>500</v>
      </c>
      <c r="L225" t="s">
        <v>52</v>
      </c>
      <c r="M225" t="s">
        <v>19</v>
      </c>
      <c r="N225" t="s">
        <v>27</v>
      </c>
      <c r="O225" t="s">
        <v>28</v>
      </c>
      <c r="P225">
        <v>4</v>
      </c>
      <c r="Q225">
        <v>111</v>
      </c>
      <c r="R225">
        <v>444</v>
      </c>
      <c r="S225">
        <v>5</v>
      </c>
      <c r="T225">
        <v>439</v>
      </c>
      <c r="U225" t="s">
        <v>42</v>
      </c>
      <c r="V225">
        <v>36</v>
      </c>
      <c r="W225" t="s">
        <v>23</v>
      </c>
      <c r="X225">
        <v>5</v>
      </c>
    </row>
    <row r="226" spans="1:24" x14ac:dyDescent="0.3">
      <c r="A226" t="s">
        <v>501</v>
      </c>
      <c r="B226" s="1">
        <v>45661</v>
      </c>
      <c r="C226">
        <f t="shared" si="23"/>
        <v>4</v>
      </c>
      <c r="D226">
        <f t="shared" si="24"/>
        <v>1</v>
      </c>
      <c r="E226">
        <f t="shared" si="25"/>
        <v>2025</v>
      </c>
      <c r="F226" t="str">
        <f t="shared" si="21"/>
        <v>Jan</v>
      </c>
      <c r="G226" t="str">
        <f t="shared" si="22"/>
        <v>Sat</v>
      </c>
      <c r="H226" t="str">
        <f t="shared" si="26"/>
        <v>Weekend</v>
      </c>
      <c r="I226" s="2">
        <v>0.37847222222222221</v>
      </c>
      <c r="J226" s="2">
        <f t="shared" si="27"/>
        <v>0.37847222222222221</v>
      </c>
      <c r="K226" t="s">
        <v>502</v>
      </c>
      <c r="L226" t="s">
        <v>90</v>
      </c>
      <c r="M226" t="s">
        <v>59</v>
      </c>
      <c r="N226" t="s">
        <v>93</v>
      </c>
      <c r="O226" t="s">
        <v>94</v>
      </c>
      <c r="P226">
        <v>4</v>
      </c>
      <c r="Q226">
        <v>46</v>
      </c>
      <c r="R226">
        <v>184</v>
      </c>
      <c r="S226">
        <v>0</v>
      </c>
      <c r="T226">
        <v>184</v>
      </c>
      <c r="U226" t="s">
        <v>42</v>
      </c>
      <c r="V226">
        <v>39</v>
      </c>
      <c r="W226" t="s">
        <v>35</v>
      </c>
      <c r="X226">
        <v>4</v>
      </c>
    </row>
    <row r="227" spans="1:24" x14ac:dyDescent="0.3">
      <c r="A227" t="s">
        <v>503</v>
      </c>
      <c r="B227" s="1">
        <v>45664</v>
      </c>
      <c r="C227">
        <f t="shared" si="23"/>
        <v>7</v>
      </c>
      <c r="D227">
        <f t="shared" si="24"/>
        <v>1</v>
      </c>
      <c r="E227">
        <f t="shared" si="25"/>
        <v>2025</v>
      </c>
      <c r="F227" t="str">
        <f t="shared" si="21"/>
        <v>Jan</v>
      </c>
      <c r="G227" t="str">
        <f t="shared" si="22"/>
        <v>Tue</v>
      </c>
      <c r="H227" t="str">
        <f t="shared" si="26"/>
        <v>Weekday</v>
      </c>
      <c r="I227" s="2">
        <v>0.76041666666666663</v>
      </c>
      <c r="J227" s="2">
        <f t="shared" si="27"/>
        <v>0.76041666666666663</v>
      </c>
      <c r="K227" t="s">
        <v>504</v>
      </c>
      <c r="L227" t="s">
        <v>52</v>
      </c>
      <c r="M227" t="s">
        <v>69</v>
      </c>
      <c r="N227" t="s">
        <v>79</v>
      </c>
      <c r="O227" t="s">
        <v>80</v>
      </c>
      <c r="P227">
        <v>6</v>
      </c>
      <c r="Q227">
        <v>40</v>
      </c>
      <c r="R227">
        <v>240</v>
      </c>
      <c r="S227">
        <v>0</v>
      </c>
      <c r="T227">
        <v>240</v>
      </c>
      <c r="U227" t="s">
        <v>64</v>
      </c>
      <c r="V227">
        <v>34</v>
      </c>
      <c r="W227" t="s">
        <v>23</v>
      </c>
      <c r="X227">
        <v>0</v>
      </c>
    </row>
    <row r="228" spans="1:24" x14ac:dyDescent="0.3">
      <c r="A228" t="s">
        <v>505</v>
      </c>
      <c r="B228" s="1">
        <v>45658</v>
      </c>
      <c r="C228">
        <f t="shared" si="23"/>
        <v>1</v>
      </c>
      <c r="D228">
        <f t="shared" si="24"/>
        <v>1</v>
      </c>
      <c r="E228">
        <f t="shared" si="25"/>
        <v>2025</v>
      </c>
      <c r="F228" t="str">
        <f t="shared" si="21"/>
        <v>Jan</v>
      </c>
      <c r="G228" t="str">
        <f t="shared" si="22"/>
        <v>Wed</v>
      </c>
      <c r="H228" t="str">
        <f t="shared" si="26"/>
        <v>Weekday</v>
      </c>
      <c r="I228" s="2">
        <v>0.76041666666666663</v>
      </c>
      <c r="J228" s="2">
        <f t="shared" si="27"/>
        <v>0.76041666666666663</v>
      </c>
      <c r="K228" t="s">
        <v>506</v>
      </c>
      <c r="L228" t="s">
        <v>49</v>
      </c>
      <c r="M228" t="s">
        <v>26</v>
      </c>
      <c r="N228" t="s">
        <v>40</v>
      </c>
      <c r="O228" t="s">
        <v>41</v>
      </c>
      <c r="P228">
        <v>6</v>
      </c>
      <c r="Q228">
        <v>18</v>
      </c>
      <c r="R228">
        <v>108</v>
      </c>
      <c r="S228">
        <v>5</v>
      </c>
      <c r="T228">
        <v>103</v>
      </c>
      <c r="U228" t="s">
        <v>34</v>
      </c>
      <c r="V228">
        <v>13</v>
      </c>
      <c r="W228" t="s">
        <v>23</v>
      </c>
      <c r="X228">
        <v>1</v>
      </c>
    </row>
    <row r="229" spans="1:24" x14ac:dyDescent="0.3">
      <c r="A229" t="s">
        <v>507</v>
      </c>
      <c r="B229" s="1">
        <v>45665</v>
      </c>
      <c r="C229">
        <f t="shared" si="23"/>
        <v>8</v>
      </c>
      <c r="D229">
        <f t="shared" si="24"/>
        <v>1</v>
      </c>
      <c r="E229">
        <f t="shared" si="25"/>
        <v>2025</v>
      </c>
      <c r="F229" t="str">
        <f t="shared" si="21"/>
        <v>Jan</v>
      </c>
      <c r="G229" t="str">
        <f t="shared" si="22"/>
        <v>Wed</v>
      </c>
      <c r="H229" t="str">
        <f t="shared" si="26"/>
        <v>Weekday</v>
      </c>
      <c r="I229" s="2">
        <v>0.76041666666666663</v>
      </c>
      <c r="J229" s="2">
        <f t="shared" si="27"/>
        <v>0.76041666666666663</v>
      </c>
      <c r="K229" t="s">
        <v>508</v>
      </c>
      <c r="L229" t="s">
        <v>52</v>
      </c>
      <c r="M229" t="s">
        <v>78</v>
      </c>
      <c r="N229" t="s">
        <v>40</v>
      </c>
      <c r="O229" t="s">
        <v>41</v>
      </c>
      <c r="P229">
        <v>6</v>
      </c>
      <c r="Q229">
        <v>90</v>
      </c>
      <c r="R229">
        <v>540</v>
      </c>
      <c r="S229">
        <v>10</v>
      </c>
      <c r="T229">
        <v>530</v>
      </c>
      <c r="U229" t="s">
        <v>34</v>
      </c>
      <c r="V229">
        <v>42</v>
      </c>
      <c r="W229" t="s">
        <v>35</v>
      </c>
      <c r="X229">
        <v>4</v>
      </c>
    </row>
    <row r="230" spans="1:24" x14ac:dyDescent="0.3">
      <c r="A230" t="s">
        <v>509</v>
      </c>
      <c r="B230" s="1">
        <v>45668</v>
      </c>
      <c r="C230">
        <f t="shared" si="23"/>
        <v>11</v>
      </c>
      <c r="D230">
        <f t="shared" si="24"/>
        <v>1</v>
      </c>
      <c r="E230">
        <f t="shared" si="25"/>
        <v>2025</v>
      </c>
      <c r="F230" t="str">
        <f t="shared" si="21"/>
        <v>Jan</v>
      </c>
      <c r="G230" t="str">
        <f t="shared" si="22"/>
        <v>Sat</v>
      </c>
      <c r="H230" t="str">
        <f t="shared" si="26"/>
        <v>Weekend</v>
      </c>
      <c r="I230" s="2">
        <v>0.78125</v>
      </c>
      <c r="J230" s="2">
        <f t="shared" si="27"/>
        <v>0.78125</v>
      </c>
      <c r="K230" t="s">
        <v>510</v>
      </c>
      <c r="L230" t="s">
        <v>38</v>
      </c>
      <c r="M230" t="s">
        <v>39</v>
      </c>
      <c r="N230" t="s">
        <v>93</v>
      </c>
      <c r="O230" t="s">
        <v>94</v>
      </c>
      <c r="P230">
        <v>2</v>
      </c>
      <c r="Q230">
        <v>68</v>
      </c>
      <c r="R230">
        <v>136</v>
      </c>
      <c r="S230">
        <v>10</v>
      </c>
      <c r="T230">
        <v>126</v>
      </c>
      <c r="U230" t="s">
        <v>42</v>
      </c>
      <c r="V230">
        <v>44</v>
      </c>
      <c r="W230" t="s">
        <v>23</v>
      </c>
      <c r="X230">
        <v>1</v>
      </c>
    </row>
    <row r="231" spans="1:24" x14ac:dyDescent="0.3">
      <c r="A231" t="s">
        <v>511</v>
      </c>
      <c r="B231" s="1">
        <v>45658</v>
      </c>
      <c r="C231">
        <f t="shared" si="23"/>
        <v>1</v>
      </c>
      <c r="D231">
        <f t="shared" si="24"/>
        <v>1</v>
      </c>
      <c r="E231">
        <f t="shared" si="25"/>
        <v>2025</v>
      </c>
      <c r="F231" t="str">
        <f t="shared" si="21"/>
        <v>Jan</v>
      </c>
      <c r="G231" t="str">
        <f t="shared" si="22"/>
        <v>Wed</v>
      </c>
      <c r="H231" t="str">
        <f t="shared" si="26"/>
        <v>Weekday</v>
      </c>
      <c r="I231" s="2">
        <v>0.4375</v>
      </c>
      <c r="J231" s="2">
        <f t="shared" si="27"/>
        <v>0.4375</v>
      </c>
      <c r="K231" t="s">
        <v>512</v>
      </c>
      <c r="L231" t="s">
        <v>87</v>
      </c>
      <c r="M231" t="s">
        <v>26</v>
      </c>
      <c r="N231" t="s">
        <v>79</v>
      </c>
      <c r="O231" t="s">
        <v>80</v>
      </c>
      <c r="P231">
        <v>2</v>
      </c>
      <c r="Q231">
        <v>47</v>
      </c>
      <c r="R231">
        <v>94</v>
      </c>
      <c r="S231">
        <v>5</v>
      </c>
      <c r="T231">
        <v>89</v>
      </c>
      <c r="U231" t="s">
        <v>64</v>
      </c>
      <c r="V231">
        <v>60</v>
      </c>
      <c r="W231" t="s">
        <v>23</v>
      </c>
      <c r="X231">
        <v>2</v>
      </c>
    </row>
    <row r="232" spans="1:24" x14ac:dyDescent="0.3">
      <c r="A232" t="s">
        <v>513</v>
      </c>
      <c r="B232" s="1">
        <v>45660</v>
      </c>
      <c r="C232">
        <f t="shared" si="23"/>
        <v>3</v>
      </c>
      <c r="D232">
        <f t="shared" si="24"/>
        <v>1</v>
      </c>
      <c r="E232">
        <f t="shared" si="25"/>
        <v>2025</v>
      </c>
      <c r="F232" t="str">
        <f t="shared" si="21"/>
        <v>Jan</v>
      </c>
      <c r="G232" t="str">
        <f t="shared" si="22"/>
        <v>Fri</v>
      </c>
      <c r="H232" t="str">
        <f t="shared" si="26"/>
        <v>Weekday</v>
      </c>
      <c r="I232" s="2">
        <v>0.37847222222222221</v>
      </c>
      <c r="J232" s="2">
        <f t="shared" si="27"/>
        <v>0.37847222222222221</v>
      </c>
      <c r="K232" t="s">
        <v>514</v>
      </c>
      <c r="L232" t="s">
        <v>38</v>
      </c>
      <c r="M232" t="s">
        <v>26</v>
      </c>
      <c r="N232" t="s">
        <v>105</v>
      </c>
      <c r="O232" t="s">
        <v>106</v>
      </c>
      <c r="P232">
        <v>6</v>
      </c>
      <c r="Q232">
        <v>111</v>
      </c>
      <c r="R232">
        <v>666</v>
      </c>
      <c r="S232">
        <v>0</v>
      </c>
      <c r="T232">
        <v>666</v>
      </c>
      <c r="U232" t="s">
        <v>34</v>
      </c>
      <c r="V232">
        <v>34</v>
      </c>
      <c r="W232" t="s">
        <v>23</v>
      </c>
      <c r="X232">
        <v>4</v>
      </c>
    </row>
    <row r="233" spans="1:24" x14ac:dyDescent="0.3">
      <c r="A233" t="s">
        <v>515</v>
      </c>
      <c r="B233" s="1">
        <v>45665</v>
      </c>
      <c r="C233">
        <f t="shared" si="23"/>
        <v>8</v>
      </c>
      <c r="D233">
        <f t="shared" si="24"/>
        <v>1</v>
      </c>
      <c r="E233">
        <f t="shared" si="25"/>
        <v>2025</v>
      </c>
      <c r="F233" t="str">
        <f t="shared" si="21"/>
        <v>Jan</v>
      </c>
      <c r="G233" t="str">
        <f t="shared" si="22"/>
        <v>Wed</v>
      </c>
      <c r="H233" t="str">
        <f t="shared" si="26"/>
        <v>Weekday</v>
      </c>
      <c r="I233" s="2">
        <v>0.78125</v>
      </c>
      <c r="J233" s="2">
        <f t="shared" si="27"/>
        <v>0.78125</v>
      </c>
      <c r="K233" t="s">
        <v>516</v>
      </c>
      <c r="L233" t="s">
        <v>49</v>
      </c>
      <c r="M233" t="s">
        <v>26</v>
      </c>
      <c r="N233" t="s">
        <v>20</v>
      </c>
      <c r="O233" t="s">
        <v>21</v>
      </c>
      <c r="P233">
        <v>5</v>
      </c>
      <c r="Q233">
        <v>69</v>
      </c>
      <c r="R233">
        <v>345</v>
      </c>
      <c r="S233">
        <v>10</v>
      </c>
      <c r="T233">
        <v>335</v>
      </c>
      <c r="U233" t="s">
        <v>22</v>
      </c>
      <c r="V233">
        <v>54</v>
      </c>
      <c r="W233" t="s">
        <v>35</v>
      </c>
      <c r="X233">
        <v>4</v>
      </c>
    </row>
    <row r="234" spans="1:24" x14ac:dyDescent="0.3">
      <c r="A234" t="s">
        <v>517</v>
      </c>
      <c r="B234" s="1">
        <v>45668</v>
      </c>
      <c r="C234">
        <f t="shared" si="23"/>
        <v>11</v>
      </c>
      <c r="D234">
        <f t="shared" si="24"/>
        <v>1</v>
      </c>
      <c r="E234">
        <f t="shared" si="25"/>
        <v>2025</v>
      </c>
      <c r="F234" t="str">
        <f t="shared" si="21"/>
        <v>Jan</v>
      </c>
      <c r="G234" t="str">
        <f t="shared" si="22"/>
        <v>Sat</v>
      </c>
      <c r="H234" t="str">
        <f t="shared" si="26"/>
        <v>Weekend</v>
      </c>
      <c r="I234" s="2">
        <v>0.37847222222222221</v>
      </c>
      <c r="J234" s="2">
        <f t="shared" si="27"/>
        <v>0.37847222222222221</v>
      </c>
      <c r="K234" t="s">
        <v>518</v>
      </c>
      <c r="L234" t="s">
        <v>31</v>
      </c>
      <c r="M234" t="s">
        <v>69</v>
      </c>
      <c r="N234" t="s">
        <v>20</v>
      </c>
      <c r="O234" t="s">
        <v>21</v>
      </c>
      <c r="P234">
        <v>2</v>
      </c>
      <c r="Q234">
        <v>103</v>
      </c>
      <c r="R234">
        <v>206</v>
      </c>
      <c r="S234">
        <v>5</v>
      </c>
      <c r="T234">
        <v>201</v>
      </c>
      <c r="U234" t="s">
        <v>42</v>
      </c>
      <c r="V234">
        <v>18</v>
      </c>
      <c r="W234" t="s">
        <v>23</v>
      </c>
      <c r="X234">
        <v>1</v>
      </c>
    </row>
    <row r="235" spans="1:24" x14ac:dyDescent="0.3">
      <c r="A235" t="s">
        <v>519</v>
      </c>
      <c r="B235" s="1">
        <v>45667</v>
      </c>
      <c r="C235">
        <f t="shared" si="23"/>
        <v>10</v>
      </c>
      <c r="D235">
        <f t="shared" si="24"/>
        <v>1</v>
      </c>
      <c r="E235">
        <f t="shared" si="25"/>
        <v>2025</v>
      </c>
      <c r="F235" t="str">
        <f t="shared" si="21"/>
        <v>Jan</v>
      </c>
      <c r="G235" t="str">
        <f t="shared" si="22"/>
        <v>Fri</v>
      </c>
      <c r="H235" t="str">
        <f t="shared" si="26"/>
        <v>Weekday</v>
      </c>
      <c r="I235" s="2">
        <v>0.76041666666666663</v>
      </c>
      <c r="J235" s="2">
        <f t="shared" si="27"/>
        <v>0.76041666666666663</v>
      </c>
      <c r="K235" t="s">
        <v>520</v>
      </c>
      <c r="L235" t="s">
        <v>58</v>
      </c>
      <c r="M235" t="s">
        <v>32</v>
      </c>
      <c r="N235" t="s">
        <v>33</v>
      </c>
      <c r="O235" t="s">
        <v>21</v>
      </c>
      <c r="P235">
        <v>4</v>
      </c>
      <c r="Q235">
        <v>38</v>
      </c>
      <c r="R235">
        <v>152</v>
      </c>
      <c r="S235">
        <v>0</v>
      </c>
      <c r="T235">
        <v>152</v>
      </c>
      <c r="U235" t="s">
        <v>64</v>
      </c>
      <c r="V235">
        <v>57</v>
      </c>
      <c r="W235" t="s">
        <v>35</v>
      </c>
      <c r="X235">
        <v>2</v>
      </c>
    </row>
    <row r="236" spans="1:24" x14ac:dyDescent="0.3">
      <c r="A236" t="s">
        <v>521</v>
      </c>
      <c r="B236" s="1">
        <v>45660</v>
      </c>
      <c r="C236">
        <f t="shared" si="23"/>
        <v>3</v>
      </c>
      <c r="D236">
        <f t="shared" si="24"/>
        <v>1</v>
      </c>
      <c r="E236">
        <f t="shared" si="25"/>
        <v>2025</v>
      </c>
      <c r="F236" t="str">
        <f t="shared" si="21"/>
        <v>Jan</v>
      </c>
      <c r="G236" t="str">
        <f t="shared" si="22"/>
        <v>Fri</v>
      </c>
      <c r="H236" t="str">
        <f t="shared" si="26"/>
        <v>Weekday</v>
      </c>
      <c r="I236" s="2">
        <v>0.76041666666666663</v>
      </c>
      <c r="J236" s="2">
        <f t="shared" si="27"/>
        <v>0.76041666666666663</v>
      </c>
      <c r="K236" t="s">
        <v>522</v>
      </c>
      <c r="L236" t="s">
        <v>58</v>
      </c>
      <c r="M236" t="s">
        <v>39</v>
      </c>
      <c r="N236" t="s">
        <v>55</v>
      </c>
      <c r="O236" t="s">
        <v>21</v>
      </c>
      <c r="P236">
        <v>2</v>
      </c>
      <c r="Q236">
        <v>60</v>
      </c>
      <c r="R236">
        <v>120</v>
      </c>
      <c r="S236">
        <v>5</v>
      </c>
      <c r="T236">
        <v>115</v>
      </c>
      <c r="U236" t="s">
        <v>34</v>
      </c>
      <c r="V236">
        <v>60</v>
      </c>
      <c r="W236" t="s">
        <v>35</v>
      </c>
      <c r="X236">
        <v>3</v>
      </c>
    </row>
    <row r="237" spans="1:24" x14ac:dyDescent="0.3">
      <c r="A237" t="s">
        <v>523</v>
      </c>
      <c r="B237" s="1">
        <v>45668</v>
      </c>
      <c r="C237">
        <f t="shared" si="23"/>
        <v>11</v>
      </c>
      <c r="D237">
        <f t="shared" si="24"/>
        <v>1</v>
      </c>
      <c r="E237">
        <f t="shared" si="25"/>
        <v>2025</v>
      </c>
      <c r="F237" t="str">
        <f t="shared" si="21"/>
        <v>Jan</v>
      </c>
      <c r="G237" t="str">
        <f t="shared" si="22"/>
        <v>Sat</v>
      </c>
      <c r="H237" t="str">
        <f t="shared" si="26"/>
        <v>Weekend</v>
      </c>
      <c r="I237" s="2">
        <v>0.4375</v>
      </c>
      <c r="J237" s="2">
        <f t="shared" si="27"/>
        <v>0.4375</v>
      </c>
      <c r="K237" t="s">
        <v>524</v>
      </c>
      <c r="L237" t="s">
        <v>52</v>
      </c>
      <c r="M237" t="s">
        <v>45</v>
      </c>
      <c r="N237" t="s">
        <v>40</v>
      </c>
      <c r="O237" t="s">
        <v>41</v>
      </c>
      <c r="P237">
        <v>5</v>
      </c>
      <c r="Q237">
        <v>72</v>
      </c>
      <c r="R237">
        <v>360</v>
      </c>
      <c r="S237">
        <v>0</v>
      </c>
      <c r="T237">
        <v>360</v>
      </c>
      <c r="U237" t="s">
        <v>34</v>
      </c>
      <c r="V237">
        <v>38</v>
      </c>
      <c r="W237" t="s">
        <v>23</v>
      </c>
      <c r="X237">
        <v>1</v>
      </c>
    </row>
    <row r="238" spans="1:24" x14ac:dyDescent="0.3">
      <c r="A238" t="s">
        <v>525</v>
      </c>
      <c r="B238" s="1">
        <v>45661</v>
      </c>
      <c r="C238">
        <f t="shared" si="23"/>
        <v>4</v>
      </c>
      <c r="D238">
        <f t="shared" si="24"/>
        <v>1</v>
      </c>
      <c r="E238">
        <f t="shared" si="25"/>
        <v>2025</v>
      </c>
      <c r="F238" t="str">
        <f t="shared" si="21"/>
        <v>Jan</v>
      </c>
      <c r="G238" t="str">
        <f t="shared" si="22"/>
        <v>Sat</v>
      </c>
      <c r="H238" t="str">
        <f t="shared" si="26"/>
        <v>Weekend</v>
      </c>
      <c r="I238" s="2">
        <v>0.76041666666666663</v>
      </c>
      <c r="J238" s="2">
        <f t="shared" si="27"/>
        <v>0.76041666666666663</v>
      </c>
      <c r="K238" t="s">
        <v>526</v>
      </c>
      <c r="L238" t="s">
        <v>87</v>
      </c>
      <c r="M238" t="s">
        <v>59</v>
      </c>
      <c r="N238" t="s">
        <v>20</v>
      </c>
      <c r="O238" t="s">
        <v>21</v>
      </c>
      <c r="P238">
        <v>1</v>
      </c>
      <c r="Q238">
        <v>81</v>
      </c>
      <c r="R238">
        <v>81</v>
      </c>
      <c r="S238">
        <v>0</v>
      </c>
      <c r="T238">
        <v>81</v>
      </c>
      <c r="U238" t="s">
        <v>64</v>
      </c>
      <c r="V238">
        <v>27</v>
      </c>
      <c r="W238" t="s">
        <v>35</v>
      </c>
      <c r="X238">
        <v>3</v>
      </c>
    </row>
    <row r="239" spans="1:24" x14ac:dyDescent="0.3">
      <c r="A239" t="s">
        <v>527</v>
      </c>
      <c r="B239" s="1">
        <v>45658</v>
      </c>
      <c r="C239">
        <f t="shared" si="23"/>
        <v>1</v>
      </c>
      <c r="D239">
        <f t="shared" si="24"/>
        <v>1</v>
      </c>
      <c r="E239">
        <f t="shared" si="25"/>
        <v>2025</v>
      </c>
      <c r="F239" t="str">
        <f t="shared" si="21"/>
        <v>Jan</v>
      </c>
      <c r="G239" t="str">
        <f t="shared" si="22"/>
        <v>Wed</v>
      </c>
      <c r="H239" t="str">
        <f t="shared" si="26"/>
        <v>Weekday</v>
      </c>
      <c r="I239" s="2">
        <v>0.78125</v>
      </c>
      <c r="J239" s="2">
        <f t="shared" si="27"/>
        <v>0.78125</v>
      </c>
      <c r="K239" t="s">
        <v>528</v>
      </c>
      <c r="L239" t="s">
        <v>49</v>
      </c>
      <c r="M239" t="s">
        <v>69</v>
      </c>
      <c r="N239" t="s">
        <v>93</v>
      </c>
      <c r="O239" t="s">
        <v>94</v>
      </c>
      <c r="P239">
        <v>4</v>
      </c>
      <c r="Q239">
        <v>52</v>
      </c>
      <c r="R239">
        <v>208</v>
      </c>
      <c r="S239">
        <v>0</v>
      </c>
      <c r="T239">
        <v>208</v>
      </c>
      <c r="U239" t="s">
        <v>64</v>
      </c>
      <c r="V239">
        <v>39</v>
      </c>
      <c r="W239" t="s">
        <v>35</v>
      </c>
      <c r="X239">
        <v>0</v>
      </c>
    </row>
    <row r="240" spans="1:24" x14ac:dyDescent="0.3">
      <c r="A240" t="s">
        <v>529</v>
      </c>
      <c r="B240" s="1">
        <v>45665</v>
      </c>
      <c r="C240">
        <f t="shared" si="23"/>
        <v>8</v>
      </c>
      <c r="D240">
        <f t="shared" si="24"/>
        <v>1</v>
      </c>
      <c r="E240">
        <f t="shared" si="25"/>
        <v>2025</v>
      </c>
      <c r="F240" t="str">
        <f t="shared" si="21"/>
        <v>Jan</v>
      </c>
      <c r="G240" t="str">
        <f t="shared" si="22"/>
        <v>Wed</v>
      </c>
      <c r="H240" t="str">
        <f t="shared" si="26"/>
        <v>Weekday</v>
      </c>
      <c r="I240" s="2">
        <v>0.4375</v>
      </c>
      <c r="J240" s="2">
        <f t="shared" si="27"/>
        <v>0.4375</v>
      </c>
      <c r="K240" t="s">
        <v>530</v>
      </c>
      <c r="L240" t="s">
        <v>31</v>
      </c>
      <c r="M240" t="s">
        <v>32</v>
      </c>
      <c r="N240" t="s">
        <v>33</v>
      </c>
      <c r="O240" t="s">
        <v>21</v>
      </c>
      <c r="P240">
        <v>6</v>
      </c>
      <c r="Q240">
        <v>83</v>
      </c>
      <c r="R240">
        <v>498</v>
      </c>
      <c r="S240">
        <v>0</v>
      </c>
      <c r="T240">
        <v>498</v>
      </c>
      <c r="U240" t="s">
        <v>64</v>
      </c>
      <c r="V240">
        <v>48</v>
      </c>
      <c r="W240" t="s">
        <v>35</v>
      </c>
      <c r="X240">
        <v>5</v>
      </c>
    </row>
    <row r="241" spans="1:24" x14ac:dyDescent="0.3">
      <c r="A241" t="s">
        <v>531</v>
      </c>
      <c r="B241" s="1">
        <v>45666</v>
      </c>
      <c r="C241">
        <f t="shared" si="23"/>
        <v>9</v>
      </c>
      <c r="D241">
        <f t="shared" si="24"/>
        <v>1</v>
      </c>
      <c r="E241">
        <f t="shared" si="25"/>
        <v>2025</v>
      </c>
      <c r="F241" t="str">
        <f t="shared" si="21"/>
        <v>Jan</v>
      </c>
      <c r="G241" t="str">
        <f t="shared" si="22"/>
        <v>Thu</v>
      </c>
      <c r="H241" t="str">
        <f t="shared" si="26"/>
        <v>Weekday</v>
      </c>
      <c r="I241" s="2">
        <v>0.37847222222222221</v>
      </c>
      <c r="J241" s="2">
        <f t="shared" si="27"/>
        <v>0.37847222222222221</v>
      </c>
      <c r="K241" t="s">
        <v>532</v>
      </c>
      <c r="L241" t="s">
        <v>31</v>
      </c>
      <c r="M241" t="s">
        <v>26</v>
      </c>
      <c r="N241" t="s">
        <v>33</v>
      </c>
      <c r="O241" t="s">
        <v>21</v>
      </c>
      <c r="P241">
        <v>5</v>
      </c>
      <c r="Q241">
        <v>50</v>
      </c>
      <c r="R241">
        <v>250</v>
      </c>
      <c r="S241">
        <v>0</v>
      </c>
      <c r="T241">
        <v>250</v>
      </c>
      <c r="U241" t="s">
        <v>22</v>
      </c>
      <c r="V241">
        <v>47</v>
      </c>
      <c r="W241" t="s">
        <v>35</v>
      </c>
      <c r="X241">
        <v>1</v>
      </c>
    </row>
    <row r="242" spans="1:24" x14ac:dyDescent="0.3">
      <c r="A242" t="s">
        <v>533</v>
      </c>
      <c r="B242" s="1">
        <v>45661</v>
      </c>
      <c r="C242">
        <f t="shared" si="23"/>
        <v>4</v>
      </c>
      <c r="D242">
        <f t="shared" si="24"/>
        <v>1</v>
      </c>
      <c r="E242">
        <f t="shared" si="25"/>
        <v>2025</v>
      </c>
      <c r="F242" t="str">
        <f t="shared" si="21"/>
        <v>Jan</v>
      </c>
      <c r="G242" t="str">
        <f t="shared" si="22"/>
        <v>Sat</v>
      </c>
      <c r="H242" t="str">
        <f t="shared" si="26"/>
        <v>Weekend</v>
      </c>
      <c r="I242" s="2">
        <v>0.4375</v>
      </c>
      <c r="J242" s="2">
        <f t="shared" si="27"/>
        <v>0.4375</v>
      </c>
      <c r="K242" t="s">
        <v>534</v>
      </c>
      <c r="L242" t="s">
        <v>52</v>
      </c>
      <c r="M242" t="s">
        <v>26</v>
      </c>
      <c r="N242" t="s">
        <v>105</v>
      </c>
      <c r="O242" t="s">
        <v>106</v>
      </c>
      <c r="P242">
        <v>6</v>
      </c>
      <c r="Q242">
        <v>11</v>
      </c>
      <c r="R242">
        <v>66</v>
      </c>
      <c r="S242">
        <v>0</v>
      </c>
      <c r="T242">
        <v>66</v>
      </c>
      <c r="U242" t="s">
        <v>42</v>
      </c>
      <c r="V242">
        <v>13</v>
      </c>
      <c r="W242" t="s">
        <v>35</v>
      </c>
      <c r="X242">
        <v>4</v>
      </c>
    </row>
    <row r="243" spans="1:24" x14ac:dyDescent="0.3">
      <c r="A243" t="s">
        <v>535</v>
      </c>
      <c r="B243" s="1">
        <v>45660</v>
      </c>
      <c r="C243">
        <f t="shared" si="23"/>
        <v>3</v>
      </c>
      <c r="D243">
        <f t="shared" si="24"/>
        <v>1</v>
      </c>
      <c r="E243">
        <f t="shared" si="25"/>
        <v>2025</v>
      </c>
      <c r="F243" t="str">
        <f t="shared" si="21"/>
        <v>Jan</v>
      </c>
      <c r="G243" t="str">
        <f t="shared" si="22"/>
        <v>Fri</v>
      </c>
      <c r="H243" t="str">
        <f t="shared" si="26"/>
        <v>Weekday</v>
      </c>
      <c r="I243" s="2">
        <v>0.37847222222222221</v>
      </c>
      <c r="J243" s="2">
        <f t="shared" si="27"/>
        <v>0.37847222222222221</v>
      </c>
      <c r="K243" t="s">
        <v>536</v>
      </c>
      <c r="L243" t="s">
        <v>31</v>
      </c>
      <c r="M243" t="s">
        <v>45</v>
      </c>
      <c r="N243" t="s">
        <v>40</v>
      </c>
      <c r="O243" t="s">
        <v>41</v>
      </c>
      <c r="P243">
        <v>2</v>
      </c>
      <c r="Q243">
        <v>55</v>
      </c>
      <c r="R243">
        <v>110</v>
      </c>
      <c r="S243">
        <v>0</v>
      </c>
      <c r="T243">
        <v>110</v>
      </c>
      <c r="U243" t="s">
        <v>64</v>
      </c>
      <c r="V243">
        <v>50</v>
      </c>
      <c r="W243" t="s">
        <v>23</v>
      </c>
      <c r="X243">
        <v>4</v>
      </c>
    </row>
    <row r="244" spans="1:24" x14ac:dyDescent="0.3">
      <c r="A244" t="s">
        <v>537</v>
      </c>
      <c r="B244" s="1">
        <v>45666</v>
      </c>
      <c r="C244">
        <f t="shared" si="23"/>
        <v>9</v>
      </c>
      <c r="D244">
        <f t="shared" si="24"/>
        <v>1</v>
      </c>
      <c r="E244">
        <f t="shared" si="25"/>
        <v>2025</v>
      </c>
      <c r="F244" t="str">
        <f t="shared" si="21"/>
        <v>Jan</v>
      </c>
      <c r="G244" t="str">
        <f t="shared" si="22"/>
        <v>Thu</v>
      </c>
      <c r="H244" t="str">
        <f t="shared" si="26"/>
        <v>Weekday</v>
      </c>
      <c r="I244" s="2">
        <v>0.4375</v>
      </c>
      <c r="J244" s="2">
        <f t="shared" si="27"/>
        <v>0.4375</v>
      </c>
      <c r="K244" t="s">
        <v>538</v>
      </c>
      <c r="L244" t="s">
        <v>31</v>
      </c>
      <c r="M244" t="s">
        <v>19</v>
      </c>
      <c r="N244" t="s">
        <v>20</v>
      </c>
      <c r="O244" t="s">
        <v>21</v>
      </c>
      <c r="P244">
        <v>5</v>
      </c>
      <c r="Q244">
        <v>81</v>
      </c>
      <c r="R244">
        <v>405</v>
      </c>
      <c r="S244">
        <v>0</v>
      </c>
      <c r="T244">
        <v>405</v>
      </c>
      <c r="U244" t="s">
        <v>64</v>
      </c>
      <c r="V244">
        <v>33</v>
      </c>
      <c r="W244" t="s">
        <v>23</v>
      </c>
      <c r="X244">
        <v>4</v>
      </c>
    </row>
    <row r="245" spans="1:24" x14ac:dyDescent="0.3">
      <c r="A245" t="s">
        <v>539</v>
      </c>
      <c r="B245" s="1">
        <v>45668</v>
      </c>
      <c r="C245">
        <f t="shared" si="23"/>
        <v>11</v>
      </c>
      <c r="D245">
        <f t="shared" si="24"/>
        <v>1</v>
      </c>
      <c r="E245">
        <f t="shared" si="25"/>
        <v>2025</v>
      </c>
      <c r="F245" t="str">
        <f t="shared" si="21"/>
        <v>Jan</v>
      </c>
      <c r="G245" t="str">
        <f t="shared" si="22"/>
        <v>Sat</v>
      </c>
      <c r="H245" t="str">
        <f t="shared" si="26"/>
        <v>Weekend</v>
      </c>
      <c r="I245" s="2">
        <v>0.78125</v>
      </c>
      <c r="J245" s="2">
        <f t="shared" si="27"/>
        <v>0.78125</v>
      </c>
      <c r="K245" t="s">
        <v>540</v>
      </c>
      <c r="L245" t="s">
        <v>49</v>
      </c>
      <c r="M245" t="s">
        <v>69</v>
      </c>
      <c r="N245" t="s">
        <v>20</v>
      </c>
      <c r="O245" t="s">
        <v>21</v>
      </c>
      <c r="P245">
        <v>2</v>
      </c>
      <c r="Q245">
        <v>88</v>
      </c>
      <c r="R245">
        <v>176</v>
      </c>
      <c r="S245">
        <v>10</v>
      </c>
      <c r="T245">
        <v>166</v>
      </c>
      <c r="U245" t="s">
        <v>34</v>
      </c>
      <c r="V245">
        <v>47</v>
      </c>
      <c r="W245" t="s">
        <v>23</v>
      </c>
      <c r="X245">
        <v>5</v>
      </c>
    </row>
    <row r="246" spans="1:24" x14ac:dyDescent="0.3">
      <c r="A246" t="s">
        <v>541</v>
      </c>
      <c r="B246" s="1">
        <v>45666</v>
      </c>
      <c r="C246">
        <f t="shared" si="23"/>
        <v>9</v>
      </c>
      <c r="D246">
        <f t="shared" si="24"/>
        <v>1</v>
      </c>
      <c r="E246">
        <f t="shared" si="25"/>
        <v>2025</v>
      </c>
      <c r="F246" t="str">
        <f t="shared" si="21"/>
        <v>Jan</v>
      </c>
      <c r="G246" t="str">
        <f t="shared" si="22"/>
        <v>Thu</v>
      </c>
      <c r="H246" t="str">
        <f t="shared" si="26"/>
        <v>Weekday</v>
      </c>
      <c r="I246" s="2">
        <v>0.76041666666666663</v>
      </c>
      <c r="J246" s="2">
        <f t="shared" si="27"/>
        <v>0.76041666666666663</v>
      </c>
      <c r="K246" t="s">
        <v>542</v>
      </c>
      <c r="L246" t="s">
        <v>31</v>
      </c>
      <c r="M246" t="s">
        <v>69</v>
      </c>
      <c r="N246" t="s">
        <v>40</v>
      </c>
      <c r="O246" t="s">
        <v>41</v>
      </c>
      <c r="P246">
        <v>2</v>
      </c>
      <c r="Q246">
        <v>102</v>
      </c>
      <c r="R246">
        <v>204</v>
      </c>
      <c r="S246">
        <v>10</v>
      </c>
      <c r="T246">
        <v>194</v>
      </c>
      <c r="U246" t="s">
        <v>22</v>
      </c>
      <c r="V246">
        <v>37</v>
      </c>
      <c r="W246" t="s">
        <v>35</v>
      </c>
      <c r="X246">
        <v>4</v>
      </c>
    </row>
    <row r="247" spans="1:24" x14ac:dyDescent="0.3">
      <c r="A247" t="s">
        <v>543</v>
      </c>
      <c r="B247" s="1">
        <v>45659</v>
      </c>
      <c r="C247">
        <f t="shared" si="23"/>
        <v>2</v>
      </c>
      <c r="D247">
        <f t="shared" si="24"/>
        <v>1</v>
      </c>
      <c r="E247">
        <f t="shared" si="25"/>
        <v>2025</v>
      </c>
      <c r="F247" t="str">
        <f t="shared" si="21"/>
        <v>Jan</v>
      </c>
      <c r="G247" t="str">
        <f t="shared" si="22"/>
        <v>Thu</v>
      </c>
      <c r="H247" t="str">
        <f t="shared" si="26"/>
        <v>Weekday</v>
      </c>
      <c r="I247" s="2">
        <v>0.76041666666666663</v>
      </c>
      <c r="J247" s="2">
        <f t="shared" si="27"/>
        <v>0.76041666666666663</v>
      </c>
      <c r="K247" t="s">
        <v>544</v>
      </c>
      <c r="L247" t="s">
        <v>49</v>
      </c>
      <c r="M247" t="s">
        <v>32</v>
      </c>
      <c r="N247" t="s">
        <v>93</v>
      </c>
      <c r="O247" t="s">
        <v>94</v>
      </c>
      <c r="P247">
        <v>2</v>
      </c>
      <c r="Q247">
        <v>64</v>
      </c>
      <c r="R247">
        <v>128</v>
      </c>
      <c r="S247">
        <v>5</v>
      </c>
      <c r="T247">
        <v>123</v>
      </c>
      <c r="U247" t="s">
        <v>42</v>
      </c>
      <c r="V247">
        <v>58</v>
      </c>
      <c r="W247" t="s">
        <v>23</v>
      </c>
      <c r="X247">
        <v>2</v>
      </c>
    </row>
    <row r="248" spans="1:24" x14ac:dyDescent="0.3">
      <c r="A248" t="s">
        <v>545</v>
      </c>
      <c r="B248" s="1">
        <v>45664</v>
      </c>
      <c r="C248">
        <f t="shared" si="23"/>
        <v>7</v>
      </c>
      <c r="D248">
        <f t="shared" si="24"/>
        <v>1</v>
      </c>
      <c r="E248">
        <f t="shared" si="25"/>
        <v>2025</v>
      </c>
      <c r="F248" t="str">
        <f t="shared" si="21"/>
        <v>Jan</v>
      </c>
      <c r="G248" t="str">
        <f t="shared" si="22"/>
        <v>Tue</v>
      </c>
      <c r="H248" t="str">
        <f t="shared" si="26"/>
        <v>Weekday</v>
      </c>
      <c r="I248" s="2">
        <v>0.37847222222222221</v>
      </c>
      <c r="J248" s="2">
        <f t="shared" si="27"/>
        <v>0.37847222222222221</v>
      </c>
      <c r="K248" t="s">
        <v>546</v>
      </c>
      <c r="L248" t="s">
        <v>52</v>
      </c>
      <c r="M248" t="s">
        <v>19</v>
      </c>
      <c r="N248" t="s">
        <v>46</v>
      </c>
      <c r="O248" t="s">
        <v>28</v>
      </c>
      <c r="P248">
        <v>4</v>
      </c>
      <c r="Q248">
        <v>14</v>
      </c>
      <c r="R248">
        <v>56</v>
      </c>
      <c r="S248">
        <v>0</v>
      </c>
      <c r="T248">
        <v>56</v>
      </c>
      <c r="U248" t="s">
        <v>42</v>
      </c>
      <c r="V248">
        <v>44</v>
      </c>
      <c r="W248" t="s">
        <v>23</v>
      </c>
      <c r="X248">
        <v>1</v>
      </c>
    </row>
    <row r="249" spans="1:24" x14ac:dyDescent="0.3">
      <c r="A249" t="s">
        <v>547</v>
      </c>
      <c r="B249" s="1">
        <v>45662</v>
      </c>
      <c r="C249">
        <f t="shared" si="23"/>
        <v>5</v>
      </c>
      <c r="D249">
        <f t="shared" si="24"/>
        <v>1</v>
      </c>
      <c r="E249">
        <f t="shared" si="25"/>
        <v>2025</v>
      </c>
      <c r="F249" t="str">
        <f t="shared" si="21"/>
        <v>Jan</v>
      </c>
      <c r="G249" t="str">
        <f t="shared" si="22"/>
        <v>Sun</v>
      </c>
      <c r="H249" t="str">
        <f t="shared" si="26"/>
        <v>Weekend</v>
      </c>
      <c r="I249" s="2">
        <v>0.78125</v>
      </c>
      <c r="J249" s="2">
        <f t="shared" si="27"/>
        <v>0.78125</v>
      </c>
      <c r="K249" t="s">
        <v>548</v>
      </c>
      <c r="L249" t="s">
        <v>90</v>
      </c>
      <c r="M249" t="s">
        <v>45</v>
      </c>
      <c r="N249" t="s">
        <v>46</v>
      </c>
      <c r="O249" t="s">
        <v>28</v>
      </c>
      <c r="P249">
        <v>3</v>
      </c>
      <c r="Q249">
        <v>85</v>
      </c>
      <c r="R249">
        <v>255</v>
      </c>
      <c r="S249">
        <v>0</v>
      </c>
      <c r="T249">
        <v>255</v>
      </c>
      <c r="U249" t="s">
        <v>64</v>
      </c>
      <c r="V249">
        <v>57</v>
      </c>
      <c r="W249" t="s">
        <v>23</v>
      </c>
      <c r="X249">
        <v>3</v>
      </c>
    </row>
    <row r="250" spans="1:24" x14ac:dyDescent="0.3">
      <c r="A250" t="s">
        <v>549</v>
      </c>
      <c r="B250" s="1">
        <v>45661</v>
      </c>
      <c r="C250">
        <f t="shared" si="23"/>
        <v>4</v>
      </c>
      <c r="D250">
        <f t="shared" si="24"/>
        <v>1</v>
      </c>
      <c r="E250">
        <f t="shared" si="25"/>
        <v>2025</v>
      </c>
      <c r="F250" t="str">
        <f t="shared" si="21"/>
        <v>Jan</v>
      </c>
      <c r="G250" t="str">
        <f t="shared" si="22"/>
        <v>Sat</v>
      </c>
      <c r="H250" t="str">
        <f t="shared" si="26"/>
        <v>Weekend</v>
      </c>
      <c r="I250" s="2">
        <v>0.78125</v>
      </c>
      <c r="J250" s="2">
        <f t="shared" si="27"/>
        <v>0.78125</v>
      </c>
      <c r="K250" t="s">
        <v>550</v>
      </c>
      <c r="L250" t="s">
        <v>31</v>
      </c>
      <c r="M250" t="s">
        <v>59</v>
      </c>
      <c r="N250" t="s">
        <v>93</v>
      </c>
      <c r="O250" t="s">
        <v>94</v>
      </c>
      <c r="P250">
        <v>2</v>
      </c>
      <c r="Q250">
        <v>25</v>
      </c>
      <c r="R250">
        <v>50</v>
      </c>
      <c r="S250">
        <v>10</v>
      </c>
      <c r="T250">
        <v>40</v>
      </c>
      <c r="U250" t="s">
        <v>64</v>
      </c>
      <c r="V250">
        <v>22</v>
      </c>
      <c r="W250" t="s">
        <v>23</v>
      </c>
      <c r="X250">
        <v>5</v>
      </c>
    </row>
    <row r="251" spans="1:24" x14ac:dyDescent="0.3">
      <c r="A251" t="s">
        <v>551</v>
      </c>
      <c r="B251" s="1">
        <v>45662</v>
      </c>
      <c r="C251">
        <f t="shared" si="23"/>
        <v>5</v>
      </c>
      <c r="D251">
        <f t="shared" si="24"/>
        <v>1</v>
      </c>
      <c r="E251">
        <f t="shared" si="25"/>
        <v>2025</v>
      </c>
      <c r="F251" t="str">
        <f t="shared" si="21"/>
        <v>Jan</v>
      </c>
      <c r="G251" t="str">
        <f t="shared" si="22"/>
        <v>Sun</v>
      </c>
      <c r="H251" t="str">
        <f t="shared" si="26"/>
        <v>Weekend</v>
      </c>
      <c r="I251" s="2">
        <v>0.76041666666666663</v>
      </c>
      <c r="J251" s="2">
        <f t="shared" si="27"/>
        <v>0.76041666666666663</v>
      </c>
      <c r="K251" t="s">
        <v>552</v>
      </c>
      <c r="L251" t="s">
        <v>52</v>
      </c>
      <c r="M251" t="s">
        <v>69</v>
      </c>
      <c r="N251" t="s">
        <v>79</v>
      </c>
      <c r="O251" t="s">
        <v>80</v>
      </c>
      <c r="P251">
        <v>5</v>
      </c>
      <c r="Q251">
        <v>14</v>
      </c>
      <c r="R251">
        <v>70</v>
      </c>
      <c r="S251">
        <v>0</v>
      </c>
      <c r="T251">
        <v>70</v>
      </c>
      <c r="U251" t="s">
        <v>22</v>
      </c>
      <c r="V251">
        <v>51</v>
      </c>
      <c r="W251" t="s">
        <v>23</v>
      </c>
      <c r="X251">
        <v>1</v>
      </c>
    </row>
    <row r="252" spans="1:24" x14ac:dyDescent="0.3">
      <c r="A252" t="s">
        <v>553</v>
      </c>
      <c r="B252" s="1">
        <v>45661</v>
      </c>
      <c r="C252">
        <f t="shared" si="23"/>
        <v>4</v>
      </c>
      <c r="D252">
        <f t="shared" si="24"/>
        <v>1</v>
      </c>
      <c r="E252">
        <f t="shared" si="25"/>
        <v>2025</v>
      </c>
      <c r="F252" t="str">
        <f t="shared" si="21"/>
        <v>Jan</v>
      </c>
      <c r="G252" t="str">
        <f t="shared" si="22"/>
        <v>Sat</v>
      </c>
      <c r="H252" t="str">
        <f t="shared" si="26"/>
        <v>Weekend</v>
      </c>
      <c r="I252" s="2">
        <v>0.76041666666666663</v>
      </c>
      <c r="J252" s="2">
        <f t="shared" si="27"/>
        <v>0.76041666666666663</v>
      </c>
      <c r="K252" t="s">
        <v>554</v>
      </c>
      <c r="L252" t="s">
        <v>58</v>
      </c>
      <c r="M252" t="s">
        <v>39</v>
      </c>
      <c r="N252" t="s">
        <v>33</v>
      </c>
      <c r="O252" t="s">
        <v>21</v>
      </c>
      <c r="P252">
        <v>3</v>
      </c>
      <c r="Q252">
        <v>84</v>
      </c>
      <c r="R252">
        <v>252</v>
      </c>
      <c r="S252">
        <v>0</v>
      </c>
      <c r="T252">
        <v>252</v>
      </c>
      <c r="U252" t="s">
        <v>42</v>
      </c>
      <c r="V252">
        <v>36</v>
      </c>
      <c r="W252" t="s">
        <v>23</v>
      </c>
      <c r="X252">
        <v>0</v>
      </c>
    </row>
    <row r="253" spans="1:24" x14ac:dyDescent="0.3">
      <c r="A253" t="s">
        <v>555</v>
      </c>
      <c r="B253" s="1">
        <v>45665</v>
      </c>
      <c r="C253">
        <f t="shared" si="23"/>
        <v>8</v>
      </c>
      <c r="D253">
        <f t="shared" si="24"/>
        <v>1</v>
      </c>
      <c r="E253">
        <f t="shared" si="25"/>
        <v>2025</v>
      </c>
      <c r="F253" t="str">
        <f t="shared" si="21"/>
        <v>Jan</v>
      </c>
      <c r="G253" t="str">
        <f t="shared" si="22"/>
        <v>Wed</v>
      </c>
      <c r="H253" t="str">
        <f t="shared" si="26"/>
        <v>Weekday</v>
      </c>
      <c r="I253" s="2">
        <v>0.78125</v>
      </c>
      <c r="J253" s="2">
        <f t="shared" si="27"/>
        <v>0.78125</v>
      </c>
      <c r="K253" t="s">
        <v>556</v>
      </c>
      <c r="L253" t="s">
        <v>49</v>
      </c>
      <c r="M253" t="s">
        <v>39</v>
      </c>
      <c r="N253" t="s">
        <v>79</v>
      </c>
      <c r="O253" t="s">
        <v>80</v>
      </c>
      <c r="P253">
        <v>2</v>
      </c>
      <c r="Q253">
        <v>28</v>
      </c>
      <c r="R253">
        <v>56</v>
      </c>
      <c r="S253">
        <v>0</v>
      </c>
      <c r="T253">
        <v>56</v>
      </c>
      <c r="U253" t="s">
        <v>42</v>
      </c>
      <c r="V253">
        <v>36</v>
      </c>
      <c r="W253" t="s">
        <v>35</v>
      </c>
      <c r="X253">
        <v>0</v>
      </c>
    </row>
    <row r="254" spans="1:24" x14ac:dyDescent="0.3">
      <c r="A254" t="s">
        <v>557</v>
      </c>
      <c r="B254" s="1">
        <v>45663</v>
      </c>
      <c r="C254">
        <f t="shared" si="23"/>
        <v>6</v>
      </c>
      <c r="D254">
        <f t="shared" si="24"/>
        <v>1</v>
      </c>
      <c r="E254">
        <f t="shared" si="25"/>
        <v>2025</v>
      </c>
      <c r="F254" t="str">
        <f t="shared" si="21"/>
        <v>Jan</v>
      </c>
      <c r="G254" t="str">
        <f t="shared" si="22"/>
        <v>Mon</v>
      </c>
      <c r="H254" t="str">
        <f t="shared" si="26"/>
        <v>Weekday</v>
      </c>
      <c r="I254" s="2">
        <v>0.78125</v>
      </c>
      <c r="J254" s="2">
        <f t="shared" si="27"/>
        <v>0.78125</v>
      </c>
      <c r="K254" t="s">
        <v>558</v>
      </c>
      <c r="L254" t="s">
        <v>87</v>
      </c>
      <c r="M254" t="s">
        <v>32</v>
      </c>
      <c r="N254" t="s">
        <v>33</v>
      </c>
      <c r="O254" t="s">
        <v>21</v>
      </c>
      <c r="P254">
        <v>6</v>
      </c>
      <c r="Q254">
        <v>73</v>
      </c>
      <c r="R254">
        <v>438</v>
      </c>
      <c r="S254">
        <v>0</v>
      </c>
      <c r="T254">
        <v>438</v>
      </c>
      <c r="U254" t="s">
        <v>64</v>
      </c>
      <c r="V254">
        <v>40</v>
      </c>
      <c r="W254" t="s">
        <v>35</v>
      </c>
      <c r="X254">
        <v>1</v>
      </c>
    </row>
    <row r="255" spans="1:24" x14ac:dyDescent="0.3">
      <c r="A255" t="s">
        <v>559</v>
      </c>
      <c r="B255" s="1">
        <v>45665</v>
      </c>
      <c r="C255">
        <f t="shared" si="23"/>
        <v>8</v>
      </c>
      <c r="D255">
        <f t="shared" si="24"/>
        <v>1</v>
      </c>
      <c r="E255">
        <f t="shared" si="25"/>
        <v>2025</v>
      </c>
      <c r="F255" t="str">
        <f t="shared" si="21"/>
        <v>Jan</v>
      </c>
      <c r="G255" t="str">
        <f t="shared" si="22"/>
        <v>Wed</v>
      </c>
      <c r="H255" t="str">
        <f t="shared" si="26"/>
        <v>Weekday</v>
      </c>
      <c r="I255" s="2">
        <v>0.4375</v>
      </c>
      <c r="J255" s="2">
        <f t="shared" si="27"/>
        <v>0.4375</v>
      </c>
      <c r="K255" t="s">
        <v>560</v>
      </c>
      <c r="L255" t="s">
        <v>49</v>
      </c>
      <c r="M255" t="s">
        <v>45</v>
      </c>
      <c r="N255" t="s">
        <v>55</v>
      </c>
      <c r="O255" t="s">
        <v>21</v>
      </c>
      <c r="P255">
        <v>3</v>
      </c>
      <c r="Q255">
        <v>42</v>
      </c>
      <c r="R255">
        <v>126</v>
      </c>
      <c r="S255">
        <v>10</v>
      </c>
      <c r="T255">
        <v>116</v>
      </c>
      <c r="U255" t="s">
        <v>22</v>
      </c>
      <c r="V255">
        <v>38</v>
      </c>
      <c r="W255" t="s">
        <v>23</v>
      </c>
      <c r="X255">
        <v>0</v>
      </c>
    </row>
    <row r="256" spans="1:24" x14ac:dyDescent="0.3">
      <c r="A256" t="s">
        <v>561</v>
      </c>
      <c r="B256" s="1">
        <v>45668</v>
      </c>
      <c r="C256">
        <f t="shared" si="23"/>
        <v>11</v>
      </c>
      <c r="D256">
        <f t="shared" si="24"/>
        <v>1</v>
      </c>
      <c r="E256">
        <f t="shared" si="25"/>
        <v>2025</v>
      </c>
      <c r="F256" t="str">
        <f t="shared" si="21"/>
        <v>Jan</v>
      </c>
      <c r="G256" t="str">
        <f t="shared" si="22"/>
        <v>Sat</v>
      </c>
      <c r="H256" t="str">
        <f t="shared" si="26"/>
        <v>Weekend</v>
      </c>
      <c r="I256" s="2">
        <v>0.4375</v>
      </c>
      <c r="J256" s="2">
        <f t="shared" si="27"/>
        <v>0.4375</v>
      </c>
      <c r="K256" t="s">
        <v>562</v>
      </c>
      <c r="L256" t="s">
        <v>52</v>
      </c>
      <c r="M256" t="s">
        <v>45</v>
      </c>
      <c r="N256" t="s">
        <v>79</v>
      </c>
      <c r="O256" t="s">
        <v>80</v>
      </c>
      <c r="P256">
        <v>1</v>
      </c>
      <c r="Q256">
        <v>99</v>
      </c>
      <c r="R256">
        <v>99</v>
      </c>
      <c r="S256">
        <v>5</v>
      </c>
      <c r="T256">
        <v>94</v>
      </c>
      <c r="U256" t="s">
        <v>42</v>
      </c>
      <c r="V256">
        <v>60</v>
      </c>
      <c r="W256" t="s">
        <v>35</v>
      </c>
      <c r="X256">
        <v>4</v>
      </c>
    </row>
    <row r="257" spans="1:24" x14ac:dyDescent="0.3">
      <c r="A257" t="s">
        <v>563</v>
      </c>
      <c r="B257" s="1">
        <v>45665</v>
      </c>
      <c r="C257">
        <f t="shared" si="23"/>
        <v>8</v>
      </c>
      <c r="D257">
        <f t="shared" si="24"/>
        <v>1</v>
      </c>
      <c r="E257">
        <f t="shared" si="25"/>
        <v>2025</v>
      </c>
      <c r="F257" t="str">
        <f t="shared" si="21"/>
        <v>Jan</v>
      </c>
      <c r="G257" t="str">
        <f t="shared" si="22"/>
        <v>Wed</v>
      </c>
      <c r="H257" t="str">
        <f t="shared" si="26"/>
        <v>Weekday</v>
      </c>
      <c r="I257" s="2">
        <v>0.4375</v>
      </c>
      <c r="J257" s="2">
        <f t="shared" si="27"/>
        <v>0.4375</v>
      </c>
      <c r="K257" t="s">
        <v>564</v>
      </c>
      <c r="L257" t="s">
        <v>31</v>
      </c>
      <c r="M257" t="s">
        <v>45</v>
      </c>
      <c r="N257" t="s">
        <v>20</v>
      </c>
      <c r="O257" t="s">
        <v>21</v>
      </c>
      <c r="P257">
        <v>5</v>
      </c>
      <c r="Q257">
        <v>35</v>
      </c>
      <c r="R257">
        <v>175</v>
      </c>
      <c r="S257">
        <v>10</v>
      </c>
      <c r="T257">
        <v>165</v>
      </c>
      <c r="U257" t="s">
        <v>34</v>
      </c>
      <c r="V257">
        <v>19</v>
      </c>
      <c r="W257" t="s">
        <v>23</v>
      </c>
      <c r="X257">
        <v>4</v>
      </c>
    </row>
    <row r="258" spans="1:24" x14ac:dyDescent="0.3">
      <c r="A258" t="s">
        <v>565</v>
      </c>
      <c r="B258" s="1">
        <v>45662</v>
      </c>
      <c r="C258">
        <f t="shared" si="23"/>
        <v>5</v>
      </c>
      <c r="D258">
        <f t="shared" si="24"/>
        <v>1</v>
      </c>
      <c r="E258">
        <f t="shared" si="25"/>
        <v>2025</v>
      </c>
      <c r="F258" t="str">
        <f t="shared" ref="F258:F321" si="28">TEXT(B258,"mmm")</f>
        <v>Jan</v>
      </c>
      <c r="G258" t="str">
        <f t="shared" ref="G258:G321" si="29">TEXT(B258,"ddd")</f>
        <v>Sun</v>
      </c>
      <c r="H258" t="str">
        <f t="shared" si="26"/>
        <v>Weekend</v>
      </c>
      <c r="I258" s="2">
        <v>0.78125</v>
      </c>
      <c r="J258" s="2">
        <f t="shared" si="27"/>
        <v>0.78125</v>
      </c>
      <c r="K258" t="s">
        <v>566</v>
      </c>
      <c r="L258" t="s">
        <v>90</v>
      </c>
      <c r="M258" t="s">
        <v>78</v>
      </c>
      <c r="N258" t="s">
        <v>33</v>
      </c>
      <c r="O258" t="s">
        <v>21</v>
      </c>
      <c r="P258">
        <v>3</v>
      </c>
      <c r="Q258">
        <v>41</v>
      </c>
      <c r="R258">
        <v>123</v>
      </c>
      <c r="S258">
        <v>0</v>
      </c>
      <c r="T258">
        <v>123</v>
      </c>
      <c r="U258" t="s">
        <v>64</v>
      </c>
      <c r="V258">
        <v>38</v>
      </c>
      <c r="W258" t="s">
        <v>35</v>
      </c>
      <c r="X258">
        <v>2</v>
      </c>
    </row>
    <row r="259" spans="1:24" x14ac:dyDescent="0.3">
      <c r="A259" t="s">
        <v>567</v>
      </c>
      <c r="B259" s="1">
        <v>45663</v>
      </c>
      <c r="C259">
        <f t="shared" ref="C259:C322" si="30">DAY(B259)</f>
        <v>6</v>
      </c>
      <c r="D259">
        <f t="shared" ref="D259:D322" si="31">MONTH(B259)</f>
        <v>1</v>
      </c>
      <c r="E259">
        <f t="shared" ref="E259:E322" si="32">YEAR(B259)</f>
        <v>2025</v>
      </c>
      <c r="F259" t="str">
        <f t="shared" si="28"/>
        <v>Jan</v>
      </c>
      <c r="G259" t="str">
        <f t="shared" si="29"/>
        <v>Mon</v>
      </c>
      <c r="H259" t="str">
        <f t="shared" ref="H259:H322" si="33">IF(OR(G259="sat",G259="sun"),"Weekend","Weekday")</f>
        <v>Weekday</v>
      </c>
      <c r="I259" s="2">
        <v>0.4375</v>
      </c>
      <c r="J259" s="2">
        <f t="shared" ref="J259:J322" si="34">IF(ISNUMBER(I259),I259,IFERROR(TIMEVALUE(I259),TIMEVALUE(SUBSTITUTE(I259,".",":"))))</f>
        <v>0.4375</v>
      </c>
      <c r="K259" t="s">
        <v>568</v>
      </c>
      <c r="L259" t="s">
        <v>58</v>
      </c>
      <c r="M259" t="s">
        <v>19</v>
      </c>
      <c r="N259" t="s">
        <v>105</v>
      </c>
      <c r="O259" t="s">
        <v>106</v>
      </c>
      <c r="P259">
        <v>4</v>
      </c>
      <c r="Q259">
        <v>50</v>
      </c>
      <c r="R259">
        <v>200</v>
      </c>
      <c r="S259">
        <v>0</v>
      </c>
      <c r="T259">
        <v>200</v>
      </c>
      <c r="U259" t="s">
        <v>42</v>
      </c>
      <c r="V259">
        <v>44</v>
      </c>
      <c r="W259" t="s">
        <v>23</v>
      </c>
      <c r="X259">
        <v>1</v>
      </c>
    </row>
    <row r="260" spans="1:24" x14ac:dyDescent="0.3">
      <c r="A260" t="s">
        <v>569</v>
      </c>
      <c r="B260" s="1">
        <v>45665</v>
      </c>
      <c r="C260">
        <f t="shared" si="30"/>
        <v>8</v>
      </c>
      <c r="D260">
        <f t="shared" si="31"/>
        <v>1</v>
      </c>
      <c r="E260">
        <f t="shared" si="32"/>
        <v>2025</v>
      </c>
      <c r="F260" t="str">
        <f t="shared" si="28"/>
        <v>Jan</v>
      </c>
      <c r="G260" t="str">
        <f t="shared" si="29"/>
        <v>Wed</v>
      </c>
      <c r="H260" t="str">
        <f t="shared" si="33"/>
        <v>Weekday</v>
      </c>
      <c r="I260" s="2">
        <v>0.4375</v>
      </c>
      <c r="J260" s="2">
        <f t="shared" si="34"/>
        <v>0.4375</v>
      </c>
      <c r="K260" t="s">
        <v>570</v>
      </c>
      <c r="L260" t="s">
        <v>87</v>
      </c>
      <c r="M260" t="s">
        <v>59</v>
      </c>
      <c r="N260" t="s">
        <v>20</v>
      </c>
      <c r="O260" t="s">
        <v>21</v>
      </c>
      <c r="P260">
        <v>1</v>
      </c>
      <c r="Q260">
        <v>62</v>
      </c>
      <c r="R260">
        <v>62</v>
      </c>
      <c r="S260">
        <v>10</v>
      </c>
      <c r="T260">
        <v>52</v>
      </c>
      <c r="U260" t="s">
        <v>64</v>
      </c>
      <c r="V260">
        <v>47</v>
      </c>
      <c r="W260" t="s">
        <v>35</v>
      </c>
      <c r="X260">
        <v>3</v>
      </c>
    </row>
    <row r="261" spans="1:24" x14ac:dyDescent="0.3">
      <c r="A261" t="s">
        <v>571</v>
      </c>
      <c r="B261" s="1">
        <v>45660</v>
      </c>
      <c r="C261">
        <f t="shared" si="30"/>
        <v>3</v>
      </c>
      <c r="D261">
        <f t="shared" si="31"/>
        <v>1</v>
      </c>
      <c r="E261">
        <f t="shared" si="32"/>
        <v>2025</v>
      </c>
      <c r="F261" t="str">
        <f t="shared" si="28"/>
        <v>Jan</v>
      </c>
      <c r="G261" t="str">
        <f t="shared" si="29"/>
        <v>Fri</v>
      </c>
      <c r="H261" t="str">
        <f t="shared" si="33"/>
        <v>Weekday</v>
      </c>
      <c r="I261" s="2">
        <v>0.78125</v>
      </c>
      <c r="J261" s="2">
        <f t="shared" si="34"/>
        <v>0.78125</v>
      </c>
      <c r="K261" t="s">
        <v>572</v>
      </c>
      <c r="L261" t="s">
        <v>49</v>
      </c>
      <c r="M261" t="s">
        <v>32</v>
      </c>
      <c r="N261" t="s">
        <v>20</v>
      </c>
      <c r="O261" t="s">
        <v>21</v>
      </c>
      <c r="P261">
        <v>6</v>
      </c>
      <c r="Q261">
        <v>63</v>
      </c>
      <c r="R261">
        <v>378</v>
      </c>
      <c r="S261">
        <v>10</v>
      </c>
      <c r="T261">
        <v>368</v>
      </c>
      <c r="U261" t="s">
        <v>42</v>
      </c>
      <c r="V261">
        <v>44</v>
      </c>
      <c r="W261" t="s">
        <v>23</v>
      </c>
      <c r="X261">
        <v>1</v>
      </c>
    </row>
    <row r="262" spans="1:24" x14ac:dyDescent="0.3">
      <c r="A262" t="s">
        <v>573</v>
      </c>
      <c r="B262" s="1">
        <v>45667</v>
      </c>
      <c r="C262">
        <f t="shared" si="30"/>
        <v>10</v>
      </c>
      <c r="D262">
        <f t="shared" si="31"/>
        <v>1</v>
      </c>
      <c r="E262">
        <f t="shared" si="32"/>
        <v>2025</v>
      </c>
      <c r="F262" t="str">
        <f t="shared" si="28"/>
        <v>Jan</v>
      </c>
      <c r="G262" t="str">
        <f t="shared" si="29"/>
        <v>Fri</v>
      </c>
      <c r="H262" t="str">
        <f t="shared" si="33"/>
        <v>Weekday</v>
      </c>
      <c r="I262" s="2">
        <v>0.37847222222222221</v>
      </c>
      <c r="J262" s="2">
        <f t="shared" si="34"/>
        <v>0.37847222222222221</v>
      </c>
      <c r="K262" t="s">
        <v>574</v>
      </c>
      <c r="L262" t="s">
        <v>31</v>
      </c>
      <c r="M262" t="s">
        <v>26</v>
      </c>
      <c r="N262" t="s">
        <v>55</v>
      </c>
      <c r="O262" t="s">
        <v>21</v>
      </c>
      <c r="P262">
        <v>4</v>
      </c>
      <c r="Q262">
        <v>114</v>
      </c>
      <c r="R262">
        <v>456</v>
      </c>
      <c r="S262">
        <v>0</v>
      </c>
      <c r="T262">
        <v>456</v>
      </c>
      <c r="U262" t="s">
        <v>34</v>
      </c>
      <c r="V262">
        <v>22</v>
      </c>
      <c r="W262" t="s">
        <v>35</v>
      </c>
      <c r="X262">
        <v>2</v>
      </c>
    </row>
    <row r="263" spans="1:24" x14ac:dyDescent="0.3">
      <c r="A263" t="s">
        <v>575</v>
      </c>
      <c r="B263" s="1">
        <v>45658</v>
      </c>
      <c r="C263">
        <f t="shared" si="30"/>
        <v>1</v>
      </c>
      <c r="D263">
        <f t="shared" si="31"/>
        <v>1</v>
      </c>
      <c r="E263">
        <f t="shared" si="32"/>
        <v>2025</v>
      </c>
      <c r="F263" t="str">
        <f t="shared" si="28"/>
        <v>Jan</v>
      </c>
      <c r="G263" t="str">
        <f t="shared" si="29"/>
        <v>Wed</v>
      </c>
      <c r="H263" t="str">
        <f t="shared" si="33"/>
        <v>Weekday</v>
      </c>
      <c r="I263" s="2">
        <v>0.37847222222222221</v>
      </c>
      <c r="J263" s="2">
        <f t="shared" si="34"/>
        <v>0.37847222222222221</v>
      </c>
      <c r="K263" t="s">
        <v>576</v>
      </c>
      <c r="L263" t="s">
        <v>90</v>
      </c>
      <c r="M263" t="s">
        <v>26</v>
      </c>
      <c r="N263" t="s">
        <v>33</v>
      </c>
      <c r="O263" t="s">
        <v>21</v>
      </c>
      <c r="P263">
        <v>2</v>
      </c>
      <c r="Q263">
        <v>99</v>
      </c>
      <c r="R263">
        <v>198</v>
      </c>
      <c r="S263">
        <v>10</v>
      </c>
      <c r="T263">
        <v>188</v>
      </c>
      <c r="U263" t="s">
        <v>34</v>
      </c>
      <c r="V263">
        <v>44</v>
      </c>
      <c r="W263" t="s">
        <v>23</v>
      </c>
      <c r="X263">
        <v>5</v>
      </c>
    </row>
    <row r="264" spans="1:24" x14ac:dyDescent="0.3">
      <c r="A264" t="s">
        <v>577</v>
      </c>
      <c r="B264" s="1">
        <v>45658</v>
      </c>
      <c r="C264">
        <f t="shared" si="30"/>
        <v>1</v>
      </c>
      <c r="D264">
        <f t="shared" si="31"/>
        <v>1</v>
      </c>
      <c r="E264">
        <f t="shared" si="32"/>
        <v>2025</v>
      </c>
      <c r="F264" t="str">
        <f t="shared" si="28"/>
        <v>Jan</v>
      </c>
      <c r="G264" t="str">
        <f t="shared" si="29"/>
        <v>Wed</v>
      </c>
      <c r="H264" t="str">
        <f t="shared" si="33"/>
        <v>Weekday</v>
      </c>
      <c r="I264" s="2">
        <v>0.78125</v>
      </c>
      <c r="J264" s="2">
        <f t="shared" si="34"/>
        <v>0.78125</v>
      </c>
      <c r="K264" t="s">
        <v>578</v>
      </c>
      <c r="L264" t="s">
        <v>58</v>
      </c>
      <c r="M264" t="s">
        <v>45</v>
      </c>
      <c r="N264" t="s">
        <v>20</v>
      </c>
      <c r="O264" t="s">
        <v>21</v>
      </c>
      <c r="P264">
        <v>6</v>
      </c>
      <c r="Q264">
        <v>91</v>
      </c>
      <c r="R264">
        <v>546</v>
      </c>
      <c r="S264">
        <v>5</v>
      </c>
      <c r="T264">
        <v>541</v>
      </c>
      <c r="U264" t="s">
        <v>64</v>
      </c>
      <c r="V264">
        <v>44</v>
      </c>
      <c r="W264" t="s">
        <v>35</v>
      </c>
      <c r="X264">
        <v>5</v>
      </c>
    </row>
    <row r="265" spans="1:24" x14ac:dyDescent="0.3">
      <c r="A265" t="s">
        <v>579</v>
      </c>
      <c r="B265" s="1">
        <v>45667</v>
      </c>
      <c r="C265">
        <f t="shared" si="30"/>
        <v>10</v>
      </c>
      <c r="D265">
        <f t="shared" si="31"/>
        <v>1</v>
      </c>
      <c r="E265">
        <f t="shared" si="32"/>
        <v>2025</v>
      </c>
      <c r="F265" t="str">
        <f t="shared" si="28"/>
        <v>Jan</v>
      </c>
      <c r="G265" t="str">
        <f t="shared" si="29"/>
        <v>Fri</v>
      </c>
      <c r="H265" t="str">
        <f t="shared" si="33"/>
        <v>Weekday</v>
      </c>
      <c r="I265" s="2">
        <v>0.76041666666666663</v>
      </c>
      <c r="J265" s="2">
        <f t="shared" si="34"/>
        <v>0.76041666666666663</v>
      </c>
      <c r="K265" t="s">
        <v>580</v>
      </c>
      <c r="L265" t="s">
        <v>52</v>
      </c>
      <c r="M265" t="s">
        <v>45</v>
      </c>
      <c r="N265" t="s">
        <v>27</v>
      </c>
      <c r="O265" t="s">
        <v>28</v>
      </c>
      <c r="P265">
        <v>4</v>
      </c>
      <c r="Q265">
        <v>38</v>
      </c>
      <c r="R265">
        <v>152</v>
      </c>
      <c r="S265">
        <v>0</v>
      </c>
      <c r="T265">
        <v>152</v>
      </c>
      <c r="U265" t="s">
        <v>64</v>
      </c>
      <c r="V265">
        <v>16</v>
      </c>
      <c r="W265" t="s">
        <v>23</v>
      </c>
      <c r="X265">
        <v>4</v>
      </c>
    </row>
    <row r="266" spans="1:24" x14ac:dyDescent="0.3">
      <c r="A266" t="s">
        <v>581</v>
      </c>
      <c r="B266" s="1">
        <v>45668</v>
      </c>
      <c r="C266">
        <f t="shared" si="30"/>
        <v>11</v>
      </c>
      <c r="D266">
        <f t="shared" si="31"/>
        <v>1</v>
      </c>
      <c r="E266">
        <f t="shared" si="32"/>
        <v>2025</v>
      </c>
      <c r="F266" t="str">
        <f t="shared" si="28"/>
        <v>Jan</v>
      </c>
      <c r="G266" t="str">
        <f t="shared" si="29"/>
        <v>Sat</v>
      </c>
      <c r="H266" t="str">
        <f t="shared" si="33"/>
        <v>Weekend</v>
      </c>
      <c r="I266" s="2">
        <v>0.76041666666666663</v>
      </c>
      <c r="J266" s="2">
        <f t="shared" si="34"/>
        <v>0.76041666666666663</v>
      </c>
      <c r="K266" t="s">
        <v>582</v>
      </c>
      <c r="L266" t="s">
        <v>31</v>
      </c>
      <c r="M266" t="s">
        <v>26</v>
      </c>
      <c r="N266" t="s">
        <v>93</v>
      </c>
      <c r="O266" t="s">
        <v>94</v>
      </c>
      <c r="P266">
        <v>2</v>
      </c>
      <c r="Q266">
        <v>30</v>
      </c>
      <c r="R266">
        <v>60</v>
      </c>
      <c r="S266">
        <v>5</v>
      </c>
      <c r="T266">
        <v>55</v>
      </c>
      <c r="U266" t="s">
        <v>34</v>
      </c>
      <c r="V266">
        <v>15</v>
      </c>
      <c r="W266" t="s">
        <v>23</v>
      </c>
      <c r="X266">
        <v>4</v>
      </c>
    </row>
    <row r="267" spans="1:24" x14ac:dyDescent="0.3">
      <c r="A267" t="s">
        <v>583</v>
      </c>
      <c r="B267" s="1">
        <v>45663</v>
      </c>
      <c r="C267">
        <f t="shared" si="30"/>
        <v>6</v>
      </c>
      <c r="D267">
        <f t="shared" si="31"/>
        <v>1</v>
      </c>
      <c r="E267">
        <f t="shared" si="32"/>
        <v>2025</v>
      </c>
      <c r="F267" t="str">
        <f t="shared" si="28"/>
        <v>Jan</v>
      </c>
      <c r="G267" t="str">
        <f t="shared" si="29"/>
        <v>Mon</v>
      </c>
      <c r="H267" t="str">
        <f t="shared" si="33"/>
        <v>Weekday</v>
      </c>
      <c r="I267" s="2">
        <v>0.4375</v>
      </c>
      <c r="J267" s="2">
        <f t="shared" si="34"/>
        <v>0.4375</v>
      </c>
      <c r="K267" t="s">
        <v>584</v>
      </c>
      <c r="L267" t="s">
        <v>49</v>
      </c>
      <c r="M267" t="s">
        <v>19</v>
      </c>
      <c r="N267" t="s">
        <v>27</v>
      </c>
      <c r="O267" t="s">
        <v>28</v>
      </c>
      <c r="P267">
        <v>2</v>
      </c>
      <c r="Q267">
        <v>70</v>
      </c>
      <c r="R267">
        <v>140</v>
      </c>
      <c r="S267">
        <v>0</v>
      </c>
      <c r="T267">
        <v>140</v>
      </c>
      <c r="U267" t="s">
        <v>22</v>
      </c>
      <c r="V267">
        <v>38</v>
      </c>
      <c r="W267" t="s">
        <v>23</v>
      </c>
      <c r="X267">
        <v>4</v>
      </c>
    </row>
    <row r="268" spans="1:24" x14ac:dyDescent="0.3">
      <c r="A268" t="s">
        <v>585</v>
      </c>
      <c r="B268" s="1">
        <v>45664</v>
      </c>
      <c r="C268">
        <f t="shared" si="30"/>
        <v>7</v>
      </c>
      <c r="D268">
        <f t="shared" si="31"/>
        <v>1</v>
      </c>
      <c r="E268">
        <f t="shared" si="32"/>
        <v>2025</v>
      </c>
      <c r="F268" t="str">
        <f t="shared" si="28"/>
        <v>Jan</v>
      </c>
      <c r="G268" t="str">
        <f t="shared" si="29"/>
        <v>Tue</v>
      </c>
      <c r="H268" t="str">
        <f t="shared" si="33"/>
        <v>Weekday</v>
      </c>
      <c r="I268" s="2">
        <v>0.76041666666666663</v>
      </c>
      <c r="J268" s="2">
        <f t="shared" si="34"/>
        <v>0.76041666666666663</v>
      </c>
      <c r="K268" t="s">
        <v>586</v>
      </c>
      <c r="L268" t="s">
        <v>90</v>
      </c>
      <c r="M268" t="s">
        <v>78</v>
      </c>
      <c r="N268" t="s">
        <v>27</v>
      </c>
      <c r="O268" t="s">
        <v>28</v>
      </c>
      <c r="P268">
        <v>6</v>
      </c>
      <c r="Q268">
        <v>20</v>
      </c>
      <c r="R268">
        <v>120</v>
      </c>
      <c r="S268">
        <v>0</v>
      </c>
      <c r="T268">
        <v>120</v>
      </c>
      <c r="U268" t="s">
        <v>64</v>
      </c>
      <c r="V268">
        <v>59</v>
      </c>
      <c r="W268" t="s">
        <v>23</v>
      </c>
      <c r="X268">
        <v>3</v>
      </c>
    </row>
    <row r="269" spans="1:24" x14ac:dyDescent="0.3">
      <c r="A269" t="s">
        <v>587</v>
      </c>
      <c r="B269" s="1">
        <v>45667</v>
      </c>
      <c r="C269">
        <f t="shared" si="30"/>
        <v>10</v>
      </c>
      <c r="D269">
        <f t="shared" si="31"/>
        <v>1</v>
      </c>
      <c r="E269">
        <f t="shared" si="32"/>
        <v>2025</v>
      </c>
      <c r="F269" t="str">
        <f t="shared" si="28"/>
        <v>Jan</v>
      </c>
      <c r="G269" t="str">
        <f t="shared" si="29"/>
        <v>Fri</v>
      </c>
      <c r="H269" t="str">
        <f t="shared" si="33"/>
        <v>Weekday</v>
      </c>
      <c r="I269" s="2">
        <v>0.37847222222222221</v>
      </c>
      <c r="J269" s="2">
        <f t="shared" si="34"/>
        <v>0.37847222222222221</v>
      </c>
      <c r="K269" t="s">
        <v>588</v>
      </c>
      <c r="L269" t="s">
        <v>52</v>
      </c>
      <c r="M269" t="s">
        <v>69</v>
      </c>
      <c r="N269" t="s">
        <v>33</v>
      </c>
      <c r="O269" t="s">
        <v>21</v>
      </c>
      <c r="P269">
        <v>1</v>
      </c>
      <c r="Q269">
        <v>27</v>
      </c>
      <c r="R269">
        <v>27</v>
      </c>
      <c r="S269">
        <v>5</v>
      </c>
      <c r="T269">
        <v>22</v>
      </c>
      <c r="U269" t="s">
        <v>64</v>
      </c>
      <c r="V269">
        <v>24</v>
      </c>
      <c r="W269" t="s">
        <v>23</v>
      </c>
      <c r="X269">
        <v>5</v>
      </c>
    </row>
    <row r="270" spans="1:24" x14ac:dyDescent="0.3">
      <c r="A270" t="s">
        <v>589</v>
      </c>
      <c r="B270" s="1">
        <v>45659</v>
      </c>
      <c r="C270">
        <f t="shared" si="30"/>
        <v>2</v>
      </c>
      <c r="D270">
        <f t="shared" si="31"/>
        <v>1</v>
      </c>
      <c r="E270">
        <f t="shared" si="32"/>
        <v>2025</v>
      </c>
      <c r="F270" t="str">
        <f t="shared" si="28"/>
        <v>Jan</v>
      </c>
      <c r="G270" t="str">
        <f t="shared" si="29"/>
        <v>Thu</v>
      </c>
      <c r="H270" t="str">
        <f t="shared" si="33"/>
        <v>Weekday</v>
      </c>
      <c r="I270" s="2">
        <v>0.76041666666666663</v>
      </c>
      <c r="J270" s="2">
        <f t="shared" si="34"/>
        <v>0.76041666666666663</v>
      </c>
      <c r="K270" t="s">
        <v>590</v>
      </c>
      <c r="L270" t="s">
        <v>49</v>
      </c>
      <c r="M270" t="s">
        <v>26</v>
      </c>
      <c r="N270" t="s">
        <v>40</v>
      </c>
      <c r="O270" t="s">
        <v>41</v>
      </c>
      <c r="P270">
        <v>3</v>
      </c>
      <c r="Q270">
        <v>78</v>
      </c>
      <c r="R270">
        <v>234</v>
      </c>
      <c r="S270">
        <v>0</v>
      </c>
      <c r="T270">
        <v>234</v>
      </c>
      <c r="U270" t="s">
        <v>42</v>
      </c>
      <c r="V270">
        <v>38</v>
      </c>
      <c r="W270" t="s">
        <v>35</v>
      </c>
      <c r="X270">
        <v>1</v>
      </c>
    </row>
    <row r="271" spans="1:24" x14ac:dyDescent="0.3">
      <c r="A271" t="s">
        <v>591</v>
      </c>
      <c r="B271" s="1">
        <v>45661</v>
      </c>
      <c r="C271">
        <f t="shared" si="30"/>
        <v>4</v>
      </c>
      <c r="D271">
        <f t="shared" si="31"/>
        <v>1</v>
      </c>
      <c r="E271">
        <f t="shared" si="32"/>
        <v>2025</v>
      </c>
      <c r="F271" t="str">
        <f t="shared" si="28"/>
        <v>Jan</v>
      </c>
      <c r="G271" t="str">
        <f t="shared" si="29"/>
        <v>Sat</v>
      </c>
      <c r="H271" t="str">
        <f t="shared" si="33"/>
        <v>Weekend</v>
      </c>
      <c r="I271" s="2">
        <v>0.4375</v>
      </c>
      <c r="J271" s="2">
        <f t="shared" si="34"/>
        <v>0.4375</v>
      </c>
      <c r="K271" t="s">
        <v>592</v>
      </c>
      <c r="L271" t="s">
        <v>90</v>
      </c>
      <c r="M271" t="s">
        <v>32</v>
      </c>
      <c r="N271" t="s">
        <v>46</v>
      </c>
      <c r="O271" t="s">
        <v>28</v>
      </c>
      <c r="P271">
        <v>2</v>
      </c>
      <c r="Q271">
        <v>94</v>
      </c>
      <c r="R271">
        <v>188</v>
      </c>
      <c r="S271">
        <v>0</v>
      </c>
      <c r="T271">
        <v>188</v>
      </c>
      <c r="U271" t="s">
        <v>64</v>
      </c>
      <c r="V271">
        <v>42</v>
      </c>
      <c r="W271" t="s">
        <v>23</v>
      </c>
      <c r="X271">
        <v>3</v>
      </c>
    </row>
    <row r="272" spans="1:24" x14ac:dyDescent="0.3">
      <c r="A272" t="s">
        <v>593</v>
      </c>
      <c r="B272" s="1">
        <v>45661</v>
      </c>
      <c r="C272">
        <f t="shared" si="30"/>
        <v>4</v>
      </c>
      <c r="D272">
        <f t="shared" si="31"/>
        <v>1</v>
      </c>
      <c r="E272">
        <f t="shared" si="32"/>
        <v>2025</v>
      </c>
      <c r="F272" t="str">
        <f t="shared" si="28"/>
        <v>Jan</v>
      </c>
      <c r="G272" t="str">
        <f t="shared" si="29"/>
        <v>Sat</v>
      </c>
      <c r="H272" t="str">
        <f t="shared" si="33"/>
        <v>Weekend</v>
      </c>
      <c r="I272" s="2">
        <v>0.37847222222222221</v>
      </c>
      <c r="J272" s="2">
        <f t="shared" si="34"/>
        <v>0.37847222222222221</v>
      </c>
      <c r="K272" t="s">
        <v>594</v>
      </c>
      <c r="L272" t="s">
        <v>38</v>
      </c>
      <c r="M272" t="s">
        <v>19</v>
      </c>
      <c r="N272" t="s">
        <v>105</v>
      </c>
      <c r="O272" t="s">
        <v>106</v>
      </c>
      <c r="P272">
        <v>3</v>
      </c>
      <c r="Q272">
        <v>18</v>
      </c>
      <c r="R272">
        <v>54</v>
      </c>
      <c r="S272">
        <v>0</v>
      </c>
      <c r="T272">
        <v>54</v>
      </c>
      <c r="U272" t="s">
        <v>34</v>
      </c>
      <c r="V272">
        <v>29</v>
      </c>
      <c r="W272" t="s">
        <v>23</v>
      </c>
      <c r="X272">
        <v>2</v>
      </c>
    </row>
    <row r="273" spans="1:24" x14ac:dyDescent="0.3">
      <c r="A273" t="s">
        <v>595</v>
      </c>
      <c r="B273" s="1">
        <v>45667</v>
      </c>
      <c r="C273">
        <f t="shared" si="30"/>
        <v>10</v>
      </c>
      <c r="D273">
        <f t="shared" si="31"/>
        <v>1</v>
      </c>
      <c r="E273">
        <f t="shared" si="32"/>
        <v>2025</v>
      </c>
      <c r="F273" t="str">
        <f t="shared" si="28"/>
        <v>Jan</v>
      </c>
      <c r="G273" t="str">
        <f t="shared" si="29"/>
        <v>Fri</v>
      </c>
      <c r="H273" t="str">
        <f t="shared" si="33"/>
        <v>Weekday</v>
      </c>
      <c r="I273" s="2">
        <v>0.76041666666666663</v>
      </c>
      <c r="J273" s="2">
        <f t="shared" si="34"/>
        <v>0.76041666666666663</v>
      </c>
      <c r="K273" t="s">
        <v>596</v>
      </c>
      <c r="L273" t="s">
        <v>31</v>
      </c>
      <c r="M273" t="s">
        <v>26</v>
      </c>
      <c r="N273" t="s">
        <v>93</v>
      </c>
      <c r="O273" t="s">
        <v>94</v>
      </c>
      <c r="P273">
        <v>3</v>
      </c>
      <c r="Q273">
        <v>101</v>
      </c>
      <c r="R273">
        <v>303</v>
      </c>
      <c r="S273">
        <v>10</v>
      </c>
      <c r="T273">
        <v>293</v>
      </c>
      <c r="U273" t="s">
        <v>64</v>
      </c>
      <c r="V273">
        <v>47</v>
      </c>
      <c r="W273" t="s">
        <v>23</v>
      </c>
      <c r="X273">
        <v>2</v>
      </c>
    </row>
    <row r="274" spans="1:24" x14ac:dyDescent="0.3">
      <c r="A274" t="s">
        <v>597</v>
      </c>
      <c r="B274" s="1">
        <v>45666</v>
      </c>
      <c r="C274">
        <f t="shared" si="30"/>
        <v>9</v>
      </c>
      <c r="D274">
        <f t="shared" si="31"/>
        <v>1</v>
      </c>
      <c r="E274">
        <f t="shared" si="32"/>
        <v>2025</v>
      </c>
      <c r="F274" t="str">
        <f t="shared" si="28"/>
        <v>Jan</v>
      </c>
      <c r="G274" t="str">
        <f t="shared" si="29"/>
        <v>Thu</v>
      </c>
      <c r="H274" t="str">
        <f t="shared" si="33"/>
        <v>Weekday</v>
      </c>
      <c r="I274" s="2">
        <v>0.76041666666666663</v>
      </c>
      <c r="J274" s="2">
        <f t="shared" si="34"/>
        <v>0.76041666666666663</v>
      </c>
      <c r="K274" t="s">
        <v>598</v>
      </c>
      <c r="L274" t="s">
        <v>52</v>
      </c>
      <c r="M274" t="s">
        <v>69</v>
      </c>
      <c r="N274" t="s">
        <v>79</v>
      </c>
      <c r="O274" t="s">
        <v>80</v>
      </c>
      <c r="P274">
        <v>4</v>
      </c>
      <c r="Q274">
        <v>24</v>
      </c>
      <c r="R274">
        <v>96</v>
      </c>
      <c r="S274">
        <v>0</v>
      </c>
      <c r="T274">
        <v>96</v>
      </c>
      <c r="U274" t="s">
        <v>64</v>
      </c>
      <c r="V274">
        <v>33</v>
      </c>
      <c r="W274" t="s">
        <v>35</v>
      </c>
      <c r="X274">
        <v>4</v>
      </c>
    </row>
    <row r="275" spans="1:24" x14ac:dyDescent="0.3">
      <c r="A275" t="s">
        <v>599</v>
      </c>
      <c r="B275" s="1">
        <v>45660</v>
      </c>
      <c r="C275">
        <f t="shared" si="30"/>
        <v>3</v>
      </c>
      <c r="D275">
        <f t="shared" si="31"/>
        <v>1</v>
      </c>
      <c r="E275">
        <f t="shared" si="32"/>
        <v>2025</v>
      </c>
      <c r="F275" t="str">
        <f t="shared" si="28"/>
        <v>Jan</v>
      </c>
      <c r="G275" t="str">
        <f t="shared" si="29"/>
        <v>Fri</v>
      </c>
      <c r="H275" t="str">
        <f t="shared" si="33"/>
        <v>Weekday</v>
      </c>
      <c r="I275" s="2">
        <v>0.76041666666666663</v>
      </c>
      <c r="J275" s="2">
        <f t="shared" si="34"/>
        <v>0.76041666666666663</v>
      </c>
      <c r="K275" t="s">
        <v>600</v>
      </c>
      <c r="L275" t="s">
        <v>90</v>
      </c>
      <c r="M275" t="s">
        <v>59</v>
      </c>
      <c r="N275" t="s">
        <v>20</v>
      </c>
      <c r="O275" t="s">
        <v>21</v>
      </c>
      <c r="P275">
        <v>5</v>
      </c>
      <c r="Q275">
        <v>86</v>
      </c>
      <c r="R275">
        <v>440</v>
      </c>
      <c r="S275">
        <v>5</v>
      </c>
      <c r="T275">
        <v>425</v>
      </c>
      <c r="U275" t="s">
        <v>34</v>
      </c>
      <c r="V275">
        <v>58</v>
      </c>
      <c r="W275" t="s">
        <v>35</v>
      </c>
      <c r="X275">
        <v>3</v>
      </c>
    </row>
    <row r="276" spans="1:24" x14ac:dyDescent="0.3">
      <c r="A276" t="s">
        <v>601</v>
      </c>
      <c r="B276" s="1">
        <v>45660</v>
      </c>
      <c r="C276">
        <f t="shared" si="30"/>
        <v>3</v>
      </c>
      <c r="D276">
        <f t="shared" si="31"/>
        <v>1</v>
      </c>
      <c r="E276">
        <f t="shared" si="32"/>
        <v>2025</v>
      </c>
      <c r="F276" t="str">
        <f t="shared" si="28"/>
        <v>Jan</v>
      </c>
      <c r="G276" t="str">
        <f t="shared" si="29"/>
        <v>Fri</v>
      </c>
      <c r="H276" t="str">
        <f t="shared" si="33"/>
        <v>Weekday</v>
      </c>
      <c r="I276" s="2">
        <v>0.4375</v>
      </c>
      <c r="J276" s="2">
        <f t="shared" si="34"/>
        <v>0.4375</v>
      </c>
      <c r="K276" t="s">
        <v>602</v>
      </c>
      <c r="L276" t="s">
        <v>31</v>
      </c>
      <c r="M276" t="s">
        <v>19</v>
      </c>
      <c r="N276" t="s">
        <v>79</v>
      </c>
      <c r="O276" t="s">
        <v>80</v>
      </c>
      <c r="P276">
        <v>6</v>
      </c>
      <c r="Q276">
        <v>33</v>
      </c>
      <c r="R276">
        <v>198</v>
      </c>
      <c r="S276">
        <v>5</v>
      </c>
      <c r="T276">
        <v>193</v>
      </c>
      <c r="U276" t="s">
        <v>64</v>
      </c>
      <c r="V276">
        <v>28</v>
      </c>
      <c r="W276" t="s">
        <v>23</v>
      </c>
      <c r="X276">
        <v>5</v>
      </c>
    </row>
    <row r="277" spans="1:24" x14ac:dyDescent="0.3">
      <c r="A277" t="s">
        <v>603</v>
      </c>
      <c r="B277" s="1">
        <v>45662</v>
      </c>
      <c r="C277">
        <f t="shared" si="30"/>
        <v>5</v>
      </c>
      <c r="D277">
        <f t="shared" si="31"/>
        <v>1</v>
      </c>
      <c r="E277">
        <f t="shared" si="32"/>
        <v>2025</v>
      </c>
      <c r="F277" t="str">
        <f t="shared" si="28"/>
        <v>Jan</v>
      </c>
      <c r="G277" t="str">
        <f t="shared" si="29"/>
        <v>Sun</v>
      </c>
      <c r="H277" t="str">
        <f t="shared" si="33"/>
        <v>Weekend</v>
      </c>
      <c r="I277" s="2">
        <v>0.76041666666666663</v>
      </c>
      <c r="J277" s="2">
        <f t="shared" si="34"/>
        <v>0.76041666666666663</v>
      </c>
      <c r="K277" t="s">
        <v>604</v>
      </c>
      <c r="L277" t="s">
        <v>38</v>
      </c>
      <c r="M277" t="s">
        <v>39</v>
      </c>
      <c r="N277" t="s">
        <v>27</v>
      </c>
      <c r="O277" t="s">
        <v>28</v>
      </c>
      <c r="P277">
        <v>6</v>
      </c>
      <c r="Q277">
        <v>11</v>
      </c>
      <c r="R277">
        <v>66</v>
      </c>
      <c r="S277">
        <v>0</v>
      </c>
      <c r="T277">
        <v>66</v>
      </c>
      <c r="U277" t="s">
        <v>42</v>
      </c>
      <c r="V277">
        <v>38</v>
      </c>
      <c r="W277" t="s">
        <v>23</v>
      </c>
      <c r="X277">
        <v>0</v>
      </c>
    </row>
    <row r="278" spans="1:24" x14ac:dyDescent="0.3">
      <c r="A278" t="s">
        <v>605</v>
      </c>
      <c r="B278" s="1">
        <v>45664</v>
      </c>
      <c r="C278">
        <f t="shared" si="30"/>
        <v>7</v>
      </c>
      <c r="D278">
        <f t="shared" si="31"/>
        <v>1</v>
      </c>
      <c r="E278">
        <f t="shared" si="32"/>
        <v>2025</v>
      </c>
      <c r="F278" t="str">
        <f t="shared" si="28"/>
        <v>Jan</v>
      </c>
      <c r="G278" t="str">
        <f t="shared" si="29"/>
        <v>Tue</v>
      </c>
      <c r="H278" t="str">
        <f t="shared" si="33"/>
        <v>Weekday</v>
      </c>
      <c r="I278" s="2">
        <v>0.78125</v>
      </c>
      <c r="J278" s="2">
        <f t="shared" si="34"/>
        <v>0.78125</v>
      </c>
      <c r="K278" t="s">
        <v>606</v>
      </c>
      <c r="L278" t="s">
        <v>49</v>
      </c>
      <c r="M278" t="s">
        <v>59</v>
      </c>
      <c r="N278" t="s">
        <v>33</v>
      </c>
      <c r="O278" t="s">
        <v>21</v>
      </c>
      <c r="P278">
        <v>5</v>
      </c>
      <c r="Q278">
        <v>46</v>
      </c>
      <c r="R278">
        <v>230</v>
      </c>
      <c r="S278">
        <v>0</v>
      </c>
      <c r="T278">
        <v>230</v>
      </c>
      <c r="U278" t="s">
        <v>22</v>
      </c>
      <c r="V278">
        <v>51</v>
      </c>
      <c r="W278" t="s">
        <v>23</v>
      </c>
      <c r="X278">
        <v>0</v>
      </c>
    </row>
    <row r="279" spans="1:24" x14ac:dyDescent="0.3">
      <c r="A279" t="s">
        <v>607</v>
      </c>
      <c r="B279" s="1">
        <v>45667</v>
      </c>
      <c r="C279">
        <f t="shared" si="30"/>
        <v>10</v>
      </c>
      <c r="D279">
        <f t="shared" si="31"/>
        <v>1</v>
      </c>
      <c r="E279">
        <f t="shared" si="32"/>
        <v>2025</v>
      </c>
      <c r="F279" t="str">
        <f t="shared" si="28"/>
        <v>Jan</v>
      </c>
      <c r="G279" t="str">
        <f t="shared" si="29"/>
        <v>Fri</v>
      </c>
      <c r="H279" t="str">
        <f t="shared" si="33"/>
        <v>Weekday</v>
      </c>
      <c r="I279" s="2">
        <v>0.78125</v>
      </c>
      <c r="J279" s="2">
        <f t="shared" si="34"/>
        <v>0.78125</v>
      </c>
      <c r="K279" t="s">
        <v>608</v>
      </c>
      <c r="L279" t="s">
        <v>90</v>
      </c>
      <c r="M279" t="s">
        <v>19</v>
      </c>
      <c r="N279" t="s">
        <v>55</v>
      </c>
      <c r="O279" t="s">
        <v>21</v>
      </c>
      <c r="P279">
        <v>4</v>
      </c>
      <c r="Q279">
        <v>102</v>
      </c>
      <c r="R279">
        <v>408</v>
      </c>
      <c r="S279">
        <v>0</v>
      </c>
      <c r="T279">
        <v>408</v>
      </c>
      <c r="U279" t="s">
        <v>64</v>
      </c>
      <c r="V279">
        <v>43</v>
      </c>
      <c r="W279" t="s">
        <v>23</v>
      </c>
      <c r="X279">
        <v>2</v>
      </c>
    </row>
    <row r="280" spans="1:24" x14ac:dyDescent="0.3">
      <c r="A280" t="s">
        <v>609</v>
      </c>
      <c r="B280" s="1">
        <v>45663</v>
      </c>
      <c r="C280">
        <f t="shared" si="30"/>
        <v>6</v>
      </c>
      <c r="D280">
        <f t="shared" si="31"/>
        <v>1</v>
      </c>
      <c r="E280">
        <f t="shared" si="32"/>
        <v>2025</v>
      </c>
      <c r="F280" t="str">
        <f t="shared" si="28"/>
        <v>Jan</v>
      </c>
      <c r="G280" t="str">
        <f t="shared" si="29"/>
        <v>Mon</v>
      </c>
      <c r="H280" t="str">
        <f t="shared" si="33"/>
        <v>Weekday</v>
      </c>
      <c r="I280" s="2">
        <v>0.76041666666666663</v>
      </c>
      <c r="J280" s="2">
        <f t="shared" si="34"/>
        <v>0.76041666666666663</v>
      </c>
      <c r="K280" t="s">
        <v>610</v>
      </c>
      <c r="L280" t="s">
        <v>90</v>
      </c>
      <c r="M280" t="s">
        <v>59</v>
      </c>
      <c r="N280" t="s">
        <v>93</v>
      </c>
      <c r="O280" t="s">
        <v>94</v>
      </c>
      <c r="P280">
        <v>2</v>
      </c>
      <c r="Q280">
        <v>63</v>
      </c>
      <c r="R280">
        <v>126</v>
      </c>
      <c r="S280">
        <v>0</v>
      </c>
      <c r="T280">
        <v>126</v>
      </c>
      <c r="U280" t="s">
        <v>22</v>
      </c>
      <c r="V280">
        <v>14</v>
      </c>
      <c r="W280" t="s">
        <v>23</v>
      </c>
      <c r="X280">
        <v>5</v>
      </c>
    </row>
    <row r="281" spans="1:24" x14ac:dyDescent="0.3">
      <c r="A281" t="s">
        <v>611</v>
      </c>
      <c r="B281" s="1">
        <v>45658</v>
      </c>
      <c r="C281">
        <f t="shared" si="30"/>
        <v>1</v>
      </c>
      <c r="D281">
        <f t="shared" si="31"/>
        <v>1</v>
      </c>
      <c r="E281">
        <f t="shared" si="32"/>
        <v>2025</v>
      </c>
      <c r="F281" t="str">
        <f t="shared" si="28"/>
        <v>Jan</v>
      </c>
      <c r="G281" t="str">
        <f t="shared" si="29"/>
        <v>Wed</v>
      </c>
      <c r="H281" t="str">
        <f t="shared" si="33"/>
        <v>Weekday</v>
      </c>
      <c r="I281" s="2">
        <v>0.76041666666666663</v>
      </c>
      <c r="J281" s="2">
        <f t="shared" si="34"/>
        <v>0.76041666666666663</v>
      </c>
      <c r="K281" t="s">
        <v>612</v>
      </c>
      <c r="L281" t="s">
        <v>38</v>
      </c>
      <c r="M281" t="s">
        <v>19</v>
      </c>
      <c r="N281" t="s">
        <v>27</v>
      </c>
      <c r="O281" t="s">
        <v>28</v>
      </c>
      <c r="P281">
        <v>6</v>
      </c>
      <c r="Q281">
        <v>14</v>
      </c>
      <c r="R281">
        <v>84</v>
      </c>
      <c r="S281">
        <v>0</v>
      </c>
      <c r="T281">
        <v>84</v>
      </c>
      <c r="U281" t="s">
        <v>64</v>
      </c>
      <c r="V281">
        <v>28</v>
      </c>
      <c r="W281" t="s">
        <v>23</v>
      </c>
      <c r="X281">
        <v>2</v>
      </c>
    </row>
    <row r="282" spans="1:24" x14ac:dyDescent="0.3">
      <c r="A282" t="s">
        <v>613</v>
      </c>
      <c r="B282" s="1">
        <v>45668</v>
      </c>
      <c r="C282">
        <f t="shared" si="30"/>
        <v>11</v>
      </c>
      <c r="D282">
        <f t="shared" si="31"/>
        <v>1</v>
      </c>
      <c r="E282">
        <f t="shared" si="32"/>
        <v>2025</v>
      </c>
      <c r="F282" t="str">
        <f t="shared" si="28"/>
        <v>Jan</v>
      </c>
      <c r="G282" t="str">
        <f t="shared" si="29"/>
        <v>Sat</v>
      </c>
      <c r="H282" t="str">
        <f t="shared" si="33"/>
        <v>Weekend</v>
      </c>
      <c r="I282" s="2">
        <v>0.76041666666666663</v>
      </c>
      <c r="J282" s="2">
        <f t="shared" si="34"/>
        <v>0.76041666666666663</v>
      </c>
      <c r="K282" t="s">
        <v>614</v>
      </c>
      <c r="L282" t="s">
        <v>31</v>
      </c>
      <c r="M282" t="s">
        <v>69</v>
      </c>
      <c r="N282" t="s">
        <v>55</v>
      </c>
      <c r="O282" t="s">
        <v>21</v>
      </c>
      <c r="P282">
        <v>1</v>
      </c>
      <c r="Q282">
        <v>33</v>
      </c>
      <c r="R282">
        <v>33</v>
      </c>
      <c r="S282">
        <v>0</v>
      </c>
      <c r="T282">
        <v>33</v>
      </c>
      <c r="U282" t="s">
        <v>64</v>
      </c>
      <c r="V282">
        <v>37</v>
      </c>
      <c r="W282" t="s">
        <v>23</v>
      </c>
      <c r="X282">
        <v>3</v>
      </c>
    </row>
    <row r="283" spans="1:24" x14ac:dyDescent="0.3">
      <c r="A283" t="s">
        <v>615</v>
      </c>
      <c r="B283" s="1">
        <v>45665</v>
      </c>
      <c r="C283">
        <f t="shared" si="30"/>
        <v>8</v>
      </c>
      <c r="D283">
        <f t="shared" si="31"/>
        <v>1</v>
      </c>
      <c r="E283">
        <f t="shared" si="32"/>
        <v>2025</v>
      </c>
      <c r="F283" t="str">
        <f t="shared" si="28"/>
        <v>Jan</v>
      </c>
      <c r="G283" t="str">
        <f t="shared" si="29"/>
        <v>Wed</v>
      </c>
      <c r="H283" t="str">
        <f t="shared" si="33"/>
        <v>Weekday</v>
      </c>
      <c r="I283" s="2">
        <v>0.4375</v>
      </c>
      <c r="J283" s="2">
        <f t="shared" si="34"/>
        <v>0.4375</v>
      </c>
      <c r="K283" t="s">
        <v>616</v>
      </c>
      <c r="L283" t="s">
        <v>31</v>
      </c>
      <c r="M283" t="s">
        <v>19</v>
      </c>
      <c r="N283" t="s">
        <v>20</v>
      </c>
      <c r="O283" t="s">
        <v>21</v>
      </c>
      <c r="P283">
        <v>3</v>
      </c>
      <c r="Q283">
        <v>95</v>
      </c>
      <c r="R283">
        <v>285</v>
      </c>
      <c r="S283">
        <v>10</v>
      </c>
      <c r="T283">
        <v>275</v>
      </c>
      <c r="U283" t="s">
        <v>64</v>
      </c>
      <c r="V283">
        <v>21</v>
      </c>
      <c r="W283" t="s">
        <v>35</v>
      </c>
      <c r="X283">
        <v>3</v>
      </c>
    </row>
    <row r="284" spans="1:24" x14ac:dyDescent="0.3">
      <c r="A284" t="s">
        <v>617</v>
      </c>
      <c r="B284" s="1">
        <v>45658</v>
      </c>
      <c r="C284">
        <f t="shared" si="30"/>
        <v>1</v>
      </c>
      <c r="D284">
        <f t="shared" si="31"/>
        <v>1</v>
      </c>
      <c r="E284">
        <f t="shared" si="32"/>
        <v>2025</v>
      </c>
      <c r="F284" t="str">
        <f t="shared" si="28"/>
        <v>Jan</v>
      </c>
      <c r="G284" t="str">
        <f t="shared" si="29"/>
        <v>Wed</v>
      </c>
      <c r="H284" t="str">
        <f t="shared" si="33"/>
        <v>Weekday</v>
      </c>
      <c r="I284" s="2">
        <v>0.78125</v>
      </c>
      <c r="J284" s="2">
        <f t="shared" si="34"/>
        <v>0.78125</v>
      </c>
      <c r="K284" t="s">
        <v>618</v>
      </c>
      <c r="L284" t="s">
        <v>38</v>
      </c>
      <c r="M284" t="s">
        <v>59</v>
      </c>
      <c r="N284" t="s">
        <v>20</v>
      </c>
      <c r="O284" t="s">
        <v>21</v>
      </c>
      <c r="P284">
        <v>4</v>
      </c>
      <c r="Q284">
        <v>14</v>
      </c>
      <c r="R284">
        <v>66</v>
      </c>
      <c r="S284">
        <v>0</v>
      </c>
      <c r="T284">
        <v>56</v>
      </c>
      <c r="U284" t="s">
        <v>64</v>
      </c>
      <c r="V284">
        <v>35</v>
      </c>
      <c r="W284" t="s">
        <v>23</v>
      </c>
      <c r="X284">
        <v>4</v>
      </c>
    </row>
    <row r="285" spans="1:24" x14ac:dyDescent="0.3">
      <c r="A285" t="s">
        <v>619</v>
      </c>
      <c r="B285" s="1">
        <v>45667</v>
      </c>
      <c r="C285">
        <f t="shared" si="30"/>
        <v>10</v>
      </c>
      <c r="D285">
        <f t="shared" si="31"/>
        <v>1</v>
      </c>
      <c r="E285">
        <f t="shared" si="32"/>
        <v>2025</v>
      </c>
      <c r="F285" t="str">
        <f t="shared" si="28"/>
        <v>Jan</v>
      </c>
      <c r="G285" t="str">
        <f t="shared" si="29"/>
        <v>Fri</v>
      </c>
      <c r="H285" t="str">
        <f t="shared" si="33"/>
        <v>Weekday</v>
      </c>
      <c r="I285" s="2">
        <v>0.76041666666666663</v>
      </c>
      <c r="J285" s="2">
        <f t="shared" si="34"/>
        <v>0.76041666666666663</v>
      </c>
      <c r="K285" t="s">
        <v>620</v>
      </c>
      <c r="L285" t="s">
        <v>90</v>
      </c>
      <c r="M285" t="s">
        <v>59</v>
      </c>
      <c r="N285" t="s">
        <v>79</v>
      </c>
      <c r="O285" t="s">
        <v>80</v>
      </c>
      <c r="P285">
        <v>1</v>
      </c>
      <c r="Q285">
        <v>82</v>
      </c>
      <c r="R285">
        <v>82</v>
      </c>
      <c r="S285">
        <v>5</v>
      </c>
      <c r="T285">
        <v>77</v>
      </c>
      <c r="U285" t="s">
        <v>64</v>
      </c>
      <c r="V285">
        <v>18</v>
      </c>
      <c r="W285" t="s">
        <v>23</v>
      </c>
      <c r="X285">
        <v>3</v>
      </c>
    </row>
    <row r="286" spans="1:24" x14ac:dyDescent="0.3">
      <c r="A286" t="s">
        <v>621</v>
      </c>
      <c r="B286" s="1">
        <v>45662</v>
      </c>
      <c r="C286">
        <f t="shared" si="30"/>
        <v>5</v>
      </c>
      <c r="D286">
        <f t="shared" si="31"/>
        <v>1</v>
      </c>
      <c r="E286">
        <f t="shared" si="32"/>
        <v>2025</v>
      </c>
      <c r="F286" t="str">
        <f t="shared" si="28"/>
        <v>Jan</v>
      </c>
      <c r="G286" t="str">
        <f t="shared" si="29"/>
        <v>Sun</v>
      </c>
      <c r="H286" t="str">
        <f t="shared" si="33"/>
        <v>Weekend</v>
      </c>
      <c r="I286" s="2">
        <v>0.4375</v>
      </c>
      <c r="J286" s="2">
        <f t="shared" si="34"/>
        <v>0.4375</v>
      </c>
      <c r="K286" t="s">
        <v>622</v>
      </c>
      <c r="L286" t="s">
        <v>49</v>
      </c>
      <c r="M286" t="s">
        <v>39</v>
      </c>
      <c r="N286" t="s">
        <v>20</v>
      </c>
      <c r="O286" t="s">
        <v>21</v>
      </c>
      <c r="P286">
        <v>1</v>
      </c>
      <c r="Q286">
        <v>49</v>
      </c>
      <c r="R286">
        <v>49</v>
      </c>
      <c r="S286">
        <v>0</v>
      </c>
      <c r="T286">
        <v>49</v>
      </c>
      <c r="U286" t="s">
        <v>42</v>
      </c>
      <c r="V286">
        <v>38</v>
      </c>
      <c r="W286" t="s">
        <v>35</v>
      </c>
      <c r="X286">
        <v>2</v>
      </c>
    </row>
    <row r="287" spans="1:24" x14ac:dyDescent="0.3">
      <c r="A287" t="s">
        <v>623</v>
      </c>
      <c r="B287" s="1">
        <v>45662</v>
      </c>
      <c r="C287">
        <f t="shared" si="30"/>
        <v>5</v>
      </c>
      <c r="D287">
        <f t="shared" si="31"/>
        <v>1</v>
      </c>
      <c r="E287">
        <f t="shared" si="32"/>
        <v>2025</v>
      </c>
      <c r="F287" t="str">
        <f t="shared" si="28"/>
        <v>Jan</v>
      </c>
      <c r="G287" t="str">
        <f t="shared" si="29"/>
        <v>Sun</v>
      </c>
      <c r="H287" t="str">
        <f t="shared" si="33"/>
        <v>Weekend</v>
      </c>
      <c r="I287" s="2">
        <v>0.78125</v>
      </c>
      <c r="J287" s="2">
        <f t="shared" si="34"/>
        <v>0.78125</v>
      </c>
      <c r="K287" t="s">
        <v>624</v>
      </c>
      <c r="L287" t="s">
        <v>87</v>
      </c>
      <c r="M287" t="s">
        <v>19</v>
      </c>
      <c r="N287" t="s">
        <v>46</v>
      </c>
      <c r="O287" t="s">
        <v>28</v>
      </c>
      <c r="P287">
        <v>2</v>
      </c>
      <c r="Q287">
        <v>56</v>
      </c>
      <c r="R287">
        <v>112</v>
      </c>
      <c r="S287">
        <v>5</v>
      </c>
      <c r="T287">
        <v>107</v>
      </c>
      <c r="U287" t="s">
        <v>42</v>
      </c>
      <c r="V287">
        <v>39</v>
      </c>
      <c r="W287" t="s">
        <v>35</v>
      </c>
      <c r="X287">
        <v>3</v>
      </c>
    </row>
    <row r="288" spans="1:24" x14ac:dyDescent="0.3">
      <c r="A288" t="s">
        <v>625</v>
      </c>
      <c r="B288" s="1">
        <v>45662</v>
      </c>
      <c r="C288">
        <f t="shared" si="30"/>
        <v>5</v>
      </c>
      <c r="D288">
        <f t="shared" si="31"/>
        <v>1</v>
      </c>
      <c r="E288">
        <f t="shared" si="32"/>
        <v>2025</v>
      </c>
      <c r="F288" t="str">
        <f t="shared" si="28"/>
        <v>Jan</v>
      </c>
      <c r="G288" t="str">
        <f t="shared" si="29"/>
        <v>Sun</v>
      </c>
      <c r="H288" t="str">
        <f t="shared" si="33"/>
        <v>Weekend</v>
      </c>
      <c r="I288" s="2">
        <v>0.76041666666666663</v>
      </c>
      <c r="J288" s="2">
        <f t="shared" si="34"/>
        <v>0.76041666666666663</v>
      </c>
      <c r="K288" t="s">
        <v>626</v>
      </c>
      <c r="L288" t="s">
        <v>58</v>
      </c>
      <c r="M288" t="s">
        <v>45</v>
      </c>
      <c r="N288" t="s">
        <v>27</v>
      </c>
      <c r="O288" t="s">
        <v>28</v>
      </c>
      <c r="P288">
        <v>2</v>
      </c>
      <c r="Q288">
        <v>68</v>
      </c>
      <c r="R288">
        <v>136</v>
      </c>
      <c r="S288">
        <v>0</v>
      </c>
      <c r="T288">
        <v>136</v>
      </c>
      <c r="U288" t="s">
        <v>34</v>
      </c>
      <c r="V288">
        <v>23</v>
      </c>
      <c r="W288" t="s">
        <v>23</v>
      </c>
      <c r="X288">
        <v>1</v>
      </c>
    </row>
    <row r="289" spans="1:24" x14ac:dyDescent="0.3">
      <c r="A289" t="s">
        <v>627</v>
      </c>
      <c r="B289" s="1">
        <v>45665</v>
      </c>
      <c r="C289">
        <f t="shared" si="30"/>
        <v>8</v>
      </c>
      <c r="D289">
        <f t="shared" si="31"/>
        <v>1</v>
      </c>
      <c r="E289">
        <f t="shared" si="32"/>
        <v>2025</v>
      </c>
      <c r="F289" t="str">
        <f t="shared" si="28"/>
        <v>Jan</v>
      </c>
      <c r="G289" t="str">
        <f t="shared" si="29"/>
        <v>Wed</v>
      </c>
      <c r="H289" t="str">
        <f t="shared" si="33"/>
        <v>Weekday</v>
      </c>
      <c r="I289" s="2">
        <v>0.78125</v>
      </c>
      <c r="J289" s="2">
        <f t="shared" si="34"/>
        <v>0.78125</v>
      </c>
      <c r="K289" t="s">
        <v>628</v>
      </c>
      <c r="L289" t="s">
        <v>58</v>
      </c>
      <c r="M289" t="s">
        <v>32</v>
      </c>
      <c r="N289" t="s">
        <v>20</v>
      </c>
      <c r="O289" t="s">
        <v>21</v>
      </c>
      <c r="P289">
        <v>4</v>
      </c>
      <c r="Q289">
        <v>79</v>
      </c>
      <c r="R289">
        <v>316</v>
      </c>
      <c r="S289">
        <v>0</v>
      </c>
      <c r="T289">
        <v>316</v>
      </c>
      <c r="U289" t="s">
        <v>42</v>
      </c>
      <c r="V289">
        <v>29</v>
      </c>
      <c r="W289" t="s">
        <v>35</v>
      </c>
      <c r="X289">
        <v>3</v>
      </c>
    </row>
    <row r="290" spans="1:24" x14ac:dyDescent="0.3">
      <c r="A290" t="s">
        <v>629</v>
      </c>
      <c r="B290" s="1">
        <v>45665</v>
      </c>
      <c r="C290">
        <f t="shared" si="30"/>
        <v>8</v>
      </c>
      <c r="D290">
        <f t="shared" si="31"/>
        <v>1</v>
      </c>
      <c r="E290">
        <f t="shared" si="32"/>
        <v>2025</v>
      </c>
      <c r="F290" t="str">
        <f t="shared" si="28"/>
        <v>Jan</v>
      </c>
      <c r="G290" t="str">
        <f t="shared" si="29"/>
        <v>Wed</v>
      </c>
      <c r="H290" t="str">
        <f t="shared" si="33"/>
        <v>Weekday</v>
      </c>
      <c r="I290" s="2">
        <v>0.37847222222222221</v>
      </c>
      <c r="J290" s="2">
        <f t="shared" si="34"/>
        <v>0.37847222222222221</v>
      </c>
      <c r="K290" t="s">
        <v>630</v>
      </c>
      <c r="L290" t="s">
        <v>52</v>
      </c>
      <c r="M290" t="s">
        <v>45</v>
      </c>
      <c r="N290" t="s">
        <v>105</v>
      </c>
      <c r="O290" t="s">
        <v>106</v>
      </c>
      <c r="P290">
        <v>2</v>
      </c>
      <c r="Q290">
        <v>33</v>
      </c>
      <c r="R290">
        <v>66</v>
      </c>
      <c r="S290">
        <v>0</v>
      </c>
      <c r="T290">
        <v>66</v>
      </c>
      <c r="U290" t="s">
        <v>34</v>
      </c>
      <c r="V290">
        <v>11</v>
      </c>
      <c r="W290" t="s">
        <v>23</v>
      </c>
      <c r="X290">
        <v>3</v>
      </c>
    </row>
    <row r="291" spans="1:24" x14ac:dyDescent="0.3">
      <c r="A291" t="s">
        <v>631</v>
      </c>
      <c r="B291" s="1">
        <v>45659</v>
      </c>
      <c r="C291">
        <f t="shared" si="30"/>
        <v>2</v>
      </c>
      <c r="D291">
        <f t="shared" si="31"/>
        <v>1</v>
      </c>
      <c r="E291">
        <f t="shared" si="32"/>
        <v>2025</v>
      </c>
      <c r="F291" t="str">
        <f t="shared" si="28"/>
        <v>Jan</v>
      </c>
      <c r="G291" t="str">
        <f t="shared" si="29"/>
        <v>Thu</v>
      </c>
      <c r="H291" t="str">
        <f t="shared" si="33"/>
        <v>Weekday</v>
      </c>
      <c r="I291" s="2">
        <v>0.4375</v>
      </c>
      <c r="J291" s="2">
        <f t="shared" si="34"/>
        <v>0.4375</v>
      </c>
      <c r="K291" t="s">
        <v>632</v>
      </c>
      <c r="L291" t="s">
        <v>52</v>
      </c>
      <c r="M291" t="s">
        <v>45</v>
      </c>
      <c r="N291" t="s">
        <v>40</v>
      </c>
      <c r="O291" t="s">
        <v>41</v>
      </c>
      <c r="P291">
        <v>2</v>
      </c>
      <c r="Q291">
        <v>31</v>
      </c>
      <c r="R291">
        <v>62</v>
      </c>
      <c r="S291">
        <v>5</v>
      </c>
      <c r="T291">
        <v>57</v>
      </c>
      <c r="U291" t="s">
        <v>64</v>
      </c>
      <c r="V291">
        <v>54</v>
      </c>
      <c r="W291" t="s">
        <v>23</v>
      </c>
      <c r="X291">
        <v>4</v>
      </c>
    </row>
    <row r="292" spans="1:24" x14ac:dyDescent="0.3">
      <c r="A292" t="s">
        <v>633</v>
      </c>
      <c r="B292" s="1">
        <v>45664</v>
      </c>
      <c r="C292">
        <f t="shared" si="30"/>
        <v>7</v>
      </c>
      <c r="D292">
        <f t="shared" si="31"/>
        <v>1</v>
      </c>
      <c r="E292">
        <f t="shared" si="32"/>
        <v>2025</v>
      </c>
      <c r="F292" t="str">
        <f t="shared" si="28"/>
        <v>Jan</v>
      </c>
      <c r="G292" t="str">
        <f t="shared" si="29"/>
        <v>Tue</v>
      </c>
      <c r="H292" t="str">
        <f t="shared" si="33"/>
        <v>Weekday</v>
      </c>
      <c r="I292" s="2">
        <v>0.4375</v>
      </c>
      <c r="J292" s="2">
        <f t="shared" si="34"/>
        <v>0.4375</v>
      </c>
      <c r="K292" t="s">
        <v>634</v>
      </c>
      <c r="L292" t="s">
        <v>90</v>
      </c>
      <c r="M292" t="s">
        <v>32</v>
      </c>
      <c r="N292" t="s">
        <v>93</v>
      </c>
      <c r="O292" t="s">
        <v>94</v>
      </c>
      <c r="P292">
        <v>5</v>
      </c>
      <c r="Q292">
        <v>31</v>
      </c>
      <c r="R292">
        <v>155</v>
      </c>
      <c r="S292">
        <v>0</v>
      </c>
      <c r="T292">
        <v>155</v>
      </c>
      <c r="U292" t="s">
        <v>22</v>
      </c>
      <c r="V292">
        <v>29</v>
      </c>
      <c r="W292" t="s">
        <v>23</v>
      </c>
      <c r="X292">
        <v>4</v>
      </c>
    </row>
    <row r="293" spans="1:24" x14ac:dyDescent="0.3">
      <c r="A293" t="s">
        <v>635</v>
      </c>
      <c r="B293" s="1">
        <v>45664</v>
      </c>
      <c r="C293">
        <f t="shared" si="30"/>
        <v>7</v>
      </c>
      <c r="D293">
        <f t="shared" si="31"/>
        <v>1</v>
      </c>
      <c r="E293">
        <f t="shared" si="32"/>
        <v>2025</v>
      </c>
      <c r="F293" t="str">
        <f t="shared" si="28"/>
        <v>Jan</v>
      </c>
      <c r="G293" t="str">
        <f t="shared" si="29"/>
        <v>Tue</v>
      </c>
      <c r="H293" t="str">
        <f t="shared" si="33"/>
        <v>Weekday</v>
      </c>
      <c r="I293" s="2">
        <v>0.4375</v>
      </c>
      <c r="J293" s="2">
        <f t="shared" si="34"/>
        <v>0.4375</v>
      </c>
      <c r="K293" t="s">
        <v>636</v>
      </c>
      <c r="L293" t="s">
        <v>52</v>
      </c>
      <c r="M293" t="s">
        <v>26</v>
      </c>
      <c r="N293" t="s">
        <v>46</v>
      </c>
      <c r="O293" t="s">
        <v>28</v>
      </c>
      <c r="P293">
        <v>5</v>
      </c>
      <c r="Q293">
        <v>31</v>
      </c>
      <c r="R293">
        <v>155</v>
      </c>
      <c r="S293">
        <v>5</v>
      </c>
      <c r="T293">
        <v>150</v>
      </c>
      <c r="U293" t="s">
        <v>34</v>
      </c>
      <c r="V293">
        <v>14</v>
      </c>
      <c r="W293" t="s">
        <v>23</v>
      </c>
      <c r="X293">
        <v>0</v>
      </c>
    </row>
    <row r="294" spans="1:24" x14ac:dyDescent="0.3">
      <c r="A294" t="s">
        <v>637</v>
      </c>
      <c r="B294" s="1">
        <v>45665</v>
      </c>
      <c r="C294">
        <f t="shared" si="30"/>
        <v>8</v>
      </c>
      <c r="D294">
        <f t="shared" si="31"/>
        <v>1</v>
      </c>
      <c r="E294">
        <f t="shared" si="32"/>
        <v>2025</v>
      </c>
      <c r="F294" t="str">
        <f t="shared" si="28"/>
        <v>Jan</v>
      </c>
      <c r="G294" t="str">
        <f t="shared" si="29"/>
        <v>Wed</v>
      </c>
      <c r="H294" t="str">
        <f t="shared" si="33"/>
        <v>Weekday</v>
      </c>
      <c r="I294" s="2">
        <v>0.37847222222222221</v>
      </c>
      <c r="J294" s="2">
        <f t="shared" si="34"/>
        <v>0.37847222222222221</v>
      </c>
      <c r="K294" t="s">
        <v>638</v>
      </c>
      <c r="L294" t="s">
        <v>38</v>
      </c>
      <c r="M294" t="s">
        <v>45</v>
      </c>
      <c r="N294" t="s">
        <v>33</v>
      </c>
      <c r="O294" t="s">
        <v>21</v>
      </c>
      <c r="P294">
        <v>2</v>
      </c>
      <c r="Q294">
        <v>11</v>
      </c>
      <c r="R294">
        <v>22</v>
      </c>
      <c r="S294">
        <v>10</v>
      </c>
      <c r="T294">
        <v>12</v>
      </c>
      <c r="U294" t="s">
        <v>34</v>
      </c>
      <c r="V294">
        <v>59</v>
      </c>
      <c r="W294" t="s">
        <v>23</v>
      </c>
      <c r="X294">
        <v>1</v>
      </c>
    </row>
    <row r="295" spans="1:24" x14ac:dyDescent="0.3">
      <c r="A295" t="s">
        <v>639</v>
      </c>
      <c r="B295" s="1">
        <v>45662</v>
      </c>
      <c r="C295">
        <f t="shared" si="30"/>
        <v>5</v>
      </c>
      <c r="D295">
        <f t="shared" si="31"/>
        <v>1</v>
      </c>
      <c r="E295">
        <f t="shared" si="32"/>
        <v>2025</v>
      </c>
      <c r="F295" t="str">
        <f t="shared" si="28"/>
        <v>Jan</v>
      </c>
      <c r="G295" t="str">
        <f t="shared" si="29"/>
        <v>Sun</v>
      </c>
      <c r="H295" t="str">
        <f t="shared" si="33"/>
        <v>Weekend</v>
      </c>
      <c r="I295" s="2">
        <v>0.37847222222222221</v>
      </c>
      <c r="J295" s="2">
        <f t="shared" si="34"/>
        <v>0.37847222222222221</v>
      </c>
      <c r="K295" t="s">
        <v>640</v>
      </c>
      <c r="L295" t="s">
        <v>52</v>
      </c>
      <c r="M295" t="s">
        <v>45</v>
      </c>
      <c r="N295" t="s">
        <v>55</v>
      </c>
      <c r="O295" t="s">
        <v>21</v>
      </c>
      <c r="P295">
        <v>6</v>
      </c>
      <c r="Q295">
        <v>16</v>
      </c>
      <c r="R295">
        <v>96</v>
      </c>
      <c r="S295">
        <v>10</v>
      </c>
      <c r="T295">
        <v>86</v>
      </c>
      <c r="U295" t="s">
        <v>64</v>
      </c>
      <c r="V295">
        <v>59</v>
      </c>
      <c r="W295" t="s">
        <v>35</v>
      </c>
      <c r="X295">
        <v>2</v>
      </c>
    </row>
    <row r="296" spans="1:24" x14ac:dyDescent="0.3">
      <c r="A296" t="s">
        <v>641</v>
      </c>
      <c r="B296" s="1">
        <v>45662</v>
      </c>
      <c r="C296">
        <f t="shared" si="30"/>
        <v>5</v>
      </c>
      <c r="D296">
        <f t="shared" si="31"/>
        <v>1</v>
      </c>
      <c r="E296">
        <f t="shared" si="32"/>
        <v>2025</v>
      </c>
      <c r="F296" t="str">
        <f t="shared" si="28"/>
        <v>Jan</v>
      </c>
      <c r="G296" t="str">
        <f t="shared" si="29"/>
        <v>Sun</v>
      </c>
      <c r="H296" t="str">
        <f t="shared" si="33"/>
        <v>Weekend</v>
      </c>
      <c r="I296" s="2">
        <v>0.4375</v>
      </c>
      <c r="J296" s="2">
        <f t="shared" si="34"/>
        <v>0.4375</v>
      </c>
      <c r="K296" t="s">
        <v>642</v>
      </c>
      <c r="L296" t="s">
        <v>52</v>
      </c>
      <c r="M296" t="s">
        <v>19</v>
      </c>
      <c r="N296" t="s">
        <v>93</v>
      </c>
      <c r="O296" t="s">
        <v>94</v>
      </c>
      <c r="P296">
        <v>4</v>
      </c>
      <c r="Q296">
        <v>46</v>
      </c>
      <c r="R296">
        <v>184</v>
      </c>
      <c r="S296">
        <v>10</v>
      </c>
      <c r="T296">
        <v>174</v>
      </c>
      <c r="U296" t="s">
        <v>64</v>
      </c>
      <c r="V296">
        <v>21</v>
      </c>
      <c r="W296" t="s">
        <v>23</v>
      </c>
      <c r="X296">
        <v>5</v>
      </c>
    </row>
    <row r="297" spans="1:24" x14ac:dyDescent="0.3">
      <c r="A297" t="s">
        <v>643</v>
      </c>
      <c r="B297" s="1">
        <v>45668</v>
      </c>
      <c r="C297">
        <f t="shared" si="30"/>
        <v>11</v>
      </c>
      <c r="D297">
        <f t="shared" si="31"/>
        <v>1</v>
      </c>
      <c r="E297">
        <f t="shared" si="32"/>
        <v>2025</v>
      </c>
      <c r="F297" t="str">
        <f t="shared" si="28"/>
        <v>Jan</v>
      </c>
      <c r="G297" t="str">
        <f t="shared" si="29"/>
        <v>Sat</v>
      </c>
      <c r="H297" t="str">
        <f t="shared" si="33"/>
        <v>Weekend</v>
      </c>
      <c r="I297" s="2">
        <v>0.4375</v>
      </c>
      <c r="J297" s="2">
        <f t="shared" si="34"/>
        <v>0.4375</v>
      </c>
      <c r="K297" t="s">
        <v>644</v>
      </c>
      <c r="L297" t="s">
        <v>31</v>
      </c>
      <c r="M297" t="s">
        <v>39</v>
      </c>
      <c r="N297" t="s">
        <v>105</v>
      </c>
      <c r="O297" t="s">
        <v>106</v>
      </c>
      <c r="P297">
        <v>3</v>
      </c>
      <c r="Q297">
        <v>92</v>
      </c>
      <c r="R297">
        <v>276</v>
      </c>
      <c r="S297">
        <v>5</v>
      </c>
      <c r="T297">
        <v>271</v>
      </c>
      <c r="U297" t="s">
        <v>34</v>
      </c>
      <c r="V297">
        <v>44</v>
      </c>
      <c r="W297" t="s">
        <v>23</v>
      </c>
      <c r="X297">
        <v>4</v>
      </c>
    </row>
    <row r="298" spans="1:24" x14ac:dyDescent="0.3">
      <c r="A298" t="s">
        <v>645</v>
      </c>
      <c r="B298" s="1">
        <v>45659</v>
      </c>
      <c r="C298">
        <f t="shared" si="30"/>
        <v>2</v>
      </c>
      <c r="D298">
        <f t="shared" si="31"/>
        <v>1</v>
      </c>
      <c r="E298">
        <f t="shared" si="32"/>
        <v>2025</v>
      </c>
      <c r="F298" t="str">
        <f t="shared" si="28"/>
        <v>Jan</v>
      </c>
      <c r="G298" t="str">
        <f t="shared" si="29"/>
        <v>Thu</v>
      </c>
      <c r="H298" t="str">
        <f t="shared" si="33"/>
        <v>Weekday</v>
      </c>
      <c r="I298" s="2">
        <v>0.76041666666666663</v>
      </c>
      <c r="J298" s="2">
        <f t="shared" si="34"/>
        <v>0.76041666666666663</v>
      </c>
      <c r="K298" t="s">
        <v>646</v>
      </c>
      <c r="L298" t="s">
        <v>49</v>
      </c>
      <c r="M298" t="s">
        <v>26</v>
      </c>
      <c r="N298" t="s">
        <v>27</v>
      </c>
      <c r="O298" t="s">
        <v>28</v>
      </c>
      <c r="P298">
        <v>4</v>
      </c>
      <c r="Q298">
        <v>104</v>
      </c>
      <c r="R298">
        <v>416</v>
      </c>
      <c r="S298">
        <v>0</v>
      </c>
      <c r="T298">
        <v>416</v>
      </c>
      <c r="U298" t="s">
        <v>64</v>
      </c>
      <c r="V298">
        <v>37</v>
      </c>
      <c r="W298" t="s">
        <v>23</v>
      </c>
      <c r="X298">
        <v>2</v>
      </c>
    </row>
    <row r="299" spans="1:24" x14ac:dyDescent="0.3">
      <c r="A299" t="s">
        <v>647</v>
      </c>
      <c r="B299" s="1">
        <v>45668</v>
      </c>
      <c r="C299">
        <f t="shared" si="30"/>
        <v>11</v>
      </c>
      <c r="D299">
        <f t="shared" si="31"/>
        <v>1</v>
      </c>
      <c r="E299">
        <f t="shared" si="32"/>
        <v>2025</v>
      </c>
      <c r="F299" t="str">
        <f t="shared" si="28"/>
        <v>Jan</v>
      </c>
      <c r="G299" t="str">
        <f t="shared" si="29"/>
        <v>Sat</v>
      </c>
      <c r="H299" t="str">
        <f t="shared" si="33"/>
        <v>Weekend</v>
      </c>
      <c r="I299" s="2">
        <v>0.4375</v>
      </c>
      <c r="J299" s="2">
        <f t="shared" si="34"/>
        <v>0.4375</v>
      </c>
      <c r="K299" t="s">
        <v>648</v>
      </c>
      <c r="L299" t="s">
        <v>58</v>
      </c>
      <c r="M299" t="s">
        <v>45</v>
      </c>
      <c r="N299" t="s">
        <v>20</v>
      </c>
      <c r="O299" t="s">
        <v>21</v>
      </c>
      <c r="P299">
        <v>6</v>
      </c>
      <c r="Q299">
        <v>75</v>
      </c>
      <c r="R299">
        <v>450</v>
      </c>
      <c r="S299">
        <v>0</v>
      </c>
      <c r="T299">
        <v>450</v>
      </c>
      <c r="U299" t="s">
        <v>34</v>
      </c>
      <c r="V299">
        <v>13</v>
      </c>
      <c r="W299" t="s">
        <v>35</v>
      </c>
      <c r="X299">
        <v>4</v>
      </c>
    </row>
    <row r="300" spans="1:24" x14ac:dyDescent="0.3">
      <c r="A300" t="s">
        <v>649</v>
      </c>
      <c r="B300" s="1">
        <v>45658</v>
      </c>
      <c r="C300">
        <f t="shared" si="30"/>
        <v>1</v>
      </c>
      <c r="D300">
        <f t="shared" si="31"/>
        <v>1</v>
      </c>
      <c r="E300">
        <f t="shared" si="32"/>
        <v>2025</v>
      </c>
      <c r="F300" t="str">
        <f t="shared" si="28"/>
        <v>Jan</v>
      </c>
      <c r="G300" t="str">
        <f t="shared" si="29"/>
        <v>Wed</v>
      </c>
      <c r="H300" t="str">
        <f t="shared" si="33"/>
        <v>Weekday</v>
      </c>
      <c r="I300" s="2">
        <v>0.37847222222222221</v>
      </c>
      <c r="J300" s="2">
        <f t="shared" si="34"/>
        <v>0.37847222222222221</v>
      </c>
      <c r="K300" t="s">
        <v>650</v>
      </c>
      <c r="L300" t="s">
        <v>49</v>
      </c>
      <c r="M300" t="s">
        <v>26</v>
      </c>
      <c r="N300" t="s">
        <v>55</v>
      </c>
      <c r="O300" t="s">
        <v>21</v>
      </c>
      <c r="P300">
        <v>1</v>
      </c>
      <c r="Q300">
        <v>113</v>
      </c>
      <c r="R300">
        <v>113</v>
      </c>
      <c r="S300">
        <v>5</v>
      </c>
      <c r="T300">
        <v>108</v>
      </c>
      <c r="U300" t="s">
        <v>64</v>
      </c>
      <c r="V300">
        <v>46</v>
      </c>
      <c r="W300" t="s">
        <v>23</v>
      </c>
      <c r="X300">
        <v>4</v>
      </c>
    </row>
    <row r="301" spans="1:24" x14ac:dyDescent="0.3">
      <c r="A301" t="s">
        <v>651</v>
      </c>
      <c r="B301" s="1">
        <v>45658</v>
      </c>
      <c r="C301">
        <f t="shared" si="30"/>
        <v>1</v>
      </c>
      <c r="D301">
        <f t="shared" si="31"/>
        <v>1</v>
      </c>
      <c r="E301">
        <f t="shared" si="32"/>
        <v>2025</v>
      </c>
      <c r="F301" t="str">
        <f t="shared" si="28"/>
        <v>Jan</v>
      </c>
      <c r="G301" t="str">
        <f t="shared" si="29"/>
        <v>Wed</v>
      </c>
      <c r="H301" t="str">
        <f t="shared" si="33"/>
        <v>Weekday</v>
      </c>
      <c r="I301" s="2">
        <v>0.37847222222222221</v>
      </c>
      <c r="J301" s="2">
        <f t="shared" si="34"/>
        <v>0.37847222222222221</v>
      </c>
      <c r="K301" t="s">
        <v>652</v>
      </c>
      <c r="L301" t="s">
        <v>58</v>
      </c>
      <c r="M301" t="s">
        <v>69</v>
      </c>
      <c r="N301" t="s">
        <v>40</v>
      </c>
      <c r="O301" t="s">
        <v>41</v>
      </c>
      <c r="P301">
        <v>6</v>
      </c>
      <c r="Q301">
        <v>80</v>
      </c>
      <c r="R301">
        <v>480</v>
      </c>
      <c r="S301">
        <v>0</v>
      </c>
      <c r="T301">
        <v>480</v>
      </c>
      <c r="U301" t="s">
        <v>42</v>
      </c>
      <c r="V301">
        <v>34</v>
      </c>
      <c r="W301" t="s">
        <v>23</v>
      </c>
      <c r="X301">
        <v>5</v>
      </c>
    </row>
    <row r="302" spans="1:24" x14ac:dyDescent="0.3">
      <c r="A302" t="s">
        <v>653</v>
      </c>
      <c r="B302" s="1">
        <v>45666</v>
      </c>
      <c r="C302">
        <f t="shared" si="30"/>
        <v>9</v>
      </c>
      <c r="D302">
        <f t="shared" si="31"/>
        <v>1</v>
      </c>
      <c r="E302">
        <f t="shared" si="32"/>
        <v>2025</v>
      </c>
      <c r="F302" t="str">
        <f t="shared" si="28"/>
        <v>Jan</v>
      </c>
      <c r="G302" t="str">
        <f t="shared" si="29"/>
        <v>Thu</v>
      </c>
      <c r="H302" t="str">
        <f t="shared" si="33"/>
        <v>Weekday</v>
      </c>
      <c r="I302" s="2">
        <v>0.78125</v>
      </c>
      <c r="J302" s="2">
        <f t="shared" si="34"/>
        <v>0.78125</v>
      </c>
      <c r="K302" t="s">
        <v>654</v>
      </c>
      <c r="L302" t="s">
        <v>58</v>
      </c>
      <c r="M302" t="s">
        <v>78</v>
      </c>
      <c r="N302" t="s">
        <v>46</v>
      </c>
      <c r="O302" t="s">
        <v>28</v>
      </c>
      <c r="P302">
        <v>4</v>
      </c>
      <c r="Q302">
        <v>108</v>
      </c>
      <c r="R302">
        <v>432</v>
      </c>
      <c r="S302">
        <v>0</v>
      </c>
      <c r="T302">
        <v>432</v>
      </c>
      <c r="U302" t="s">
        <v>64</v>
      </c>
      <c r="V302">
        <v>29</v>
      </c>
      <c r="W302" t="s">
        <v>23</v>
      </c>
      <c r="X302">
        <v>0</v>
      </c>
    </row>
    <row r="303" spans="1:24" x14ac:dyDescent="0.3">
      <c r="A303" t="s">
        <v>655</v>
      </c>
      <c r="B303" s="1">
        <v>45664</v>
      </c>
      <c r="C303">
        <f t="shared" si="30"/>
        <v>7</v>
      </c>
      <c r="D303">
        <f t="shared" si="31"/>
        <v>1</v>
      </c>
      <c r="E303">
        <f t="shared" si="32"/>
        <v>2025</v>
      </c>
      <c r="F303" t="str">
        <f t="shared" si="28"/>
        <v>Jan</v>
      </c>
      <c r="G303" t="str">
        <f t="shared" si="29"/>
        <v>Tue</v>
      </c>
      <c r="H303" t="str">
        <f t="shared" si="33"/>
        <v>Weekday</v>
      </c>
      <c r="I303" s="2">
        <v>0.76041666666666663</v>
      </c>
      <c r="J303" s="2">
        <f t="shared" si="34"/>
        <v>0.76041666666666663</v>
      </c>
      <c r="K303" t="s">
        <v>656</v>
      </c>
      <c r="L303" t="s">
        <v>52</v>
      </c>
      <c r="M303" t="s">
        <v>78</v>
      </c>
      <c r="N303" t="s">
        <v>93</v>
      </c>
      <c r="O303" t="s">
        <v>94</v>
      </c>
      <c r="P303">
        <v>3</v>
      </c>
      <c r="Q303">
        <v>21</v>
      </c>
      <c r="R303">
        <v>63</v>
      </c>
      <c r="S303">
        <v>0</v>
      </c>
      <c r="T303">
        <v>63</v>
      </c>
      <c r="U303" t="s">
        <v>34</v>
      </c>
      <c r="V303">
        <v>44</v>
      </c>
      <c r="W303" t="s">
        <v>23</v>
      </c>
      <c r="X303">
        <v>5</v>
      </c>
    </row>
    <row r="304" spans="1:24" x14ac:dyDescent="0.3">
      <c r="A304" t="s">
        <v>657</v>
      </c>
      <c r="B304" s="1">
        <v>45658</v>
      </c>
      <c r="C304">
        <f t="shared" si="30"/>
        <v>1</v>
      </c>
      <c r="D304">
        <f t="shared" si="31"/>
        <v>1</v>
      </c>
      <c r="E304">
        <f t="shared" si="32"/>
        <v>2025</v>
      </c>
      <c r="F304" t="str">
        <f t="shared" si="28"/>
        <v>Jan</v>
      </c>
      <c r="G304" t="str">
        <f t="shared" si="29"/>
        <v>Wed</v>
      </c>
      <c r="H304" t="str">
        <f t="shared" si="33"/>
        <v>Weekday</v>
      </c>
      <c r="I304" s="2">
        <v>0.76041666666666663</v>
      </c>
      <c r="J304" s="2">
        <f t="shared" si="34"/>
        <v>0.76041666666666663</v>
      </c>
      <c r="K304" t="s">
        <v>658</v>
      </c>
      <c r="L304" t="s">
        <v>31</v>
      </c>
      <c r="M304" t="s">
        <v>59</v>
      </c>
      <c r="N304" t="s">
        <v>93</v>
      </c>
      <c r="O304" t="s">
        <v>94</v>
      </c>
      <c r="P304">
        <v>2</v>
      </c>
      <c r="Q304">
        <v>59</v>
      </c>
      <c r="R304">
        <v>118</v>
      </c>
      <c r="S304">
        <v>10</v>
      </c>
      <c r="T304">
        <v>108</v>
      </c>
      <c r="U304" t="s">
        <v>64</v>
      </c>
      <c r="V304">
        <v>13</v>
      </c>
      <c r="W304" t="s">
        <v>23</v>
      </c>
      <c r="X304">
        <v>4</v>
      </c>
    </row>
    <row r="305" spans="1:24" x14ac:dyDescent="0.3">
      <c r="A305" t="s">
        <v>659</v>
      </c>
      <c r="B305" s="1">
        <v>45658</v>
      </c>
      <c r="C305">
        <f t="shared" si="30"/>
        <v>1</v>
      </c>
      <c r="D305">
        <f t="shared" si="31"/>
        <v>1</v>
      </c>
      <c r="E305">
        <f t="shared" si="32"/>
        <v>2025</v>
      </c>
      <c r="F305" t="str">
        <f t="shared" si="28"/>
        <v>Jan</v>
      </c>
      <c r="G305" t="str">
        <f t="shared" si="29"/>
        <v>Wed</v>
      </c>
      <c r="H305" t="str">
        <f t="shared" si="33"/>
        <v>Weekday</v>
      </c>
      <c r="I305" s="2">
        <v>0.78125</v>
      </c>
      <c r="J305" s="2">
        <f t="shared" si="34"/>
        <v>0.78125</v>
      </c>
      <c r="K305" t="s">
        <v>660</v>
      </c>
      <c r="L305" t="s">
        <v>31</v>
      </c>
      <c r="M305" t="s">
        <v>59</v>
      </c>
      <c r="N305" t="s">
        <v>27</v>
      </c>
      <c r="O305" t="s">
        <v>28</v>
      </c>
      <c r="P305">
        <v>2</v>
      </c>
      <c r="Q305">
        <v>28</v>
      </c>
      <c r="R305">
        <v>56</v>
      </c>
      <c r="S305">
        <v>0</v>
      </c>
      <c r="T305">
        <v>56</v>
      </c>
      <c r="U305" t="s">
        <v>42</v>
      </c>
      <c r="V305">
        <v>14</v>
      </c>
      <c r="W305" t="s">
        <v>23</v>
      </c>
      <c r="X305">
        <v>3</v>
      </c>
    </row>
    <row r="306" spans="1:24" x14ac:dyDescent="0.3">
      <c r="A306" t="s">
        <v>661</v>
      </c>
      <c r="B306" s="1">
        <v>45664</v>
      </c>
      <c r="C306">
        <f t="shared" si="30"/>
        <v>7</v>
      </c>
      <c r="D306">
        <f t="shared" si="31"/>
        <v>1</v>
      </c>
      <c r="E306">
        <f t="shared" si="32"/>
        <v>2025</v>
      </c>
      <c r="F306" t="str">
        <f t="shared" si="28"/>
        <v>Jan</v>
      </c>
      <c r="G306" t="str">
        <f t="shared" si="29"/>
        <v>Tue</v>
      </c>
      <c r="H306" t="str">
        <f t="shared" si="33"/>
        <v>Weekday</v>
      </c>
      <c r="I306" s="2">
        <v>0.4375</v>
      </c>
      <c r="J306" s="2">
        <f t="shared" si="34"/>
        <v>0.4375</v>
      </c>
      <c r="K306" t="s">
        <v>662</v>
      </c>
      <c r="L306" t="s">
        <v>87</v>
      </c>
      <c r="M306" t="s">
        <v>59</v>
      </c>
      <c r="N306" t="s">
        <v>105</v>
      </c>
      <c r="O306" t="s">
        <v>106</v>
      </c>
      <c r="P306">
        <v>1</v>
      </c>
      <c r="Q306">
        <v>71</v>
      </c>
      <c r="R306">
        <v>71</v>
      </c>
      <c r="S306">
        <v>0</v>
      </c>
      <c r="T306">
        <v>71</v>
      </c>
      <c r="U306" t="s">
        <v>64</v>
      </c>
      <c r="V306">
        <v>24</v>
      </c>
      <c r="W306" t="s">
        <v>35</v>
      </c>
      <c r="X306">
        <v>0</v>
      </c>
    </row>
    <row r="307" spans="1:24" x14ac:dyDescent="0.3">
      <c r="A307" t="s">
        <v>663</v>
      </c>
      <c r="B307" s="1">
        <v>45662</v>
      </c>
      <c r="C307">
        <f t="shared" si="30"/>
        <v>5</v>
      </c>
      <c r="D307">
        <f t="shared" si="31"/>
        <v>1</v>
      </c>
      <c r="E307">
        <f t="shared" si="32"/>
        <v>2025</v>
      </c>
      <c r="F307" t="str">
        <f t="shared" si="28"/>
        <v>Jan</v>
      </c>
      <c r="G307" t="str">
        <f t="shared" si="29"/>
        <v>Sun</v>
      </c>
      <c r="H307" t="str">
        <f t="shared" si="33"/>
        <v>Weekend</v>
      </c>
      <c r="I307" s="2">
        <v>0.37847222222222221</v>
      </c>
      <c r="J307" s="2">
        <f t="shared" si="34"/>
        <v>0.37847222222222221</v>
      </c>
      <c r="K307" t="s">
        <v>664</v>
      </c>
      <c r="L307" t="s">
        <v>49</v>
      </c>
      <c r="M307" t="s">
        <v>45</v>
      </c>
      <c r="N307" t="s">
        <v>27</v>
      </c>
      <c r="O307" t="s">
        <v>28</v>
      </c>
      <c r="P307">
        <v>5</v>
      </c>
      <c r="Q307">
        <v>28</v>
      </c>
      <c r="R307">
        <v>140</v>
      </c>
      <c r="S307">
        <v>0</v>
      </c>
      <c r="T307">
        <v>140</v>
      </c>
      <c r="U307" t="s">
        <v>22</v>
      </c>
      <c r="V307">
        <v>21</v>
      </c>
      <c r="W307" t="s">
        <v>35</v>
      </c>
      <c r="X307">
        <v>0</v>
      </c>
    </row>
    <row r="308" spans="1:24" x14ac:dyDescent="0.3">
      <c r="A308" t="s">
        <v>665</v>
      </c>
      <c r="B308" s="1">
        <v>45664</v>
      </c>
      <c r="C308">
        <f t="shared" si="30"/>
        <v>7</v>
      </c>
      <c r="D308">
        <f t="shared" si="31"/>
        <v>1</v>
      </c>
      <c r="E308">
        <f t="shared" si="32"/>
        <v>2025</v>
      </c>
      <c r="F308" t="str">
        <f t="shared" si="28"/>
        <v>Jan</v>
      </c>
      <c r="G308" t="str">
        <f t="shared" si="29"/>
        <v>Tue</v>
      </c>
      <c r="H308" t="str">
        <f t="shared" si="33"/>
        <v>Weekday</v>
      </c>
      <c r="I308" s="2">
        <v>0.78125</v>
      </c>
      <c r="J308" s="2">
        <f t="shared" si="34"/>
        <v>0.78125</v>
      </c>
      <c r="K308" t="s">
        <v>666</v>
      </c>
      <c r="L308" t="s">
        <v>49</v>
      </c>
      <c r="M308" t="s">
        <v>45</v>
      </c>
      <c r="N308" t="s">
        <v>105</v>
      </c>
      <c r="O308" t="s">
        <v>106</v>
      </c>
      <c r="P308">
        <v>4</v>
      </c>
      <c r="Q308">
        <v>55</v>
      </c>
      <c r="R308">
        <v>220</v>
      </c>
      <c r="S308">
        <v>0</v>
      </c>
      <c r="T308">
        <v>220</v>
      </c>
      <c r="U308" t="s">
        <v>64</v>
      </c>
      <c r="V308">
        <v>49</v>
      </c>
      <c r="W308" t="s">
        <v>23</v>
      </c>
      <c r="X308">
        <v>3</v>
      </c>
    </row>
    <row r="309" spans="1:24" x14ac:dyDescent="0.3">
      <c r="A309" t="s">
        <v>667</v>
      </c>
      <c r="B309" s="1">
        <v>45666</v>
      </c>
      <c r="C309">
        <f t="shared" si="30"/>
        <v>9</v>
      </c>
      <c r="D309">
        <f t="shared" si="31"/>
        <v>1</v>
      </c>
      <c r="E309">
        <f t="shared" si="32"/>
        <v>2025</v>
      </c>
      <c r="F309" t="str">
        <f t="shared" si="28"/>
        <v>Jan</v>
      </c>
      <c r="G309" t="str">
        <f t="shared" si="29"/>
        <v>Thu</v>
      </c>
      <c r="H309" t="str">
        <f t="shared" si="33"/>
        <v>Weekday</v>
      </c>
      <c r="I309" s="2">
        <v>0.78125</v>
      </c>
      <c r="J309" s="2">
        <f t="shared" si="34"/>
        <v>0.78125</v>
      </c>
      <c r="K309" t="s">
        <v>668</v>
      </c>
      <c r="L309" t="s">
        <v>52</v>
      </c>
      <c r="M309" t="s">
        <v>26</v>
      </c>
      <c r="N309" t="s">
        <v>33</v>
      </c>
      <c r="O309" t="s">
        <v>21</v>
      </c>
      <c r="P309">
        <v>1</v>
      </c>
      <c r="Q309">
        <v>27</v>
      </c>
      <c r="R309">
        <v>27</v>
      </c>
      <c r="S309">
        <v>5</v>
      </c>
      <c r="T309">
        <v>22</v>
      </c>
      <c r="U309" t="s">
        <v>42</v>
      </c>
      <c r="V309">
        <v>58</v>
      </c>
      <c r="W309" t="s">
        <v>23</v>
      </c>
      <c r="X309">
        <v>1</v>
      </c>
    </row>
    <row r="310" spans="1:24" x14ac:dyDescent="0.3">
      <c r="A310" t="s">
        <v>669</v>
      </c>
      <c r="B310" s="1">
        <v>45663</v>
      </c>
      <c r="C310">
        <f t="shared" si="30"/>
        <v>6</v>
      </c>
      <c r="D310">
        <f t="shared" si="31"/>
        <v>1</v>
      </c>
      <c r="E310">
        <f t="shared" si="32"/>
        <v>2025</v>
      </c>
      <c r="F310" t="str">
        <f t="shared" si="28"/>
        <v>Jan</v>
      </c>
      <c r="G310" t="str">
        <f t="shared" si="29"/>
        <v>Mon</v>
      </c>
      <c r="H310" t="str">
        <f t="shared" si="33"/>
        <v>Weekday</v>
      </c>
      <c r="I310" s="2">
        <v>0.4375</v>
      </c>
      <c r="J310" s="2">
        <f t="shared" si="34"/>
        <v>0.4375</v>
      </c>
      <c r="K310" t="s">
        <v>670</v>
      </c>
      <c r="L310" t="s">
        <v>52</v>
      </c>
      <c r="M310" t="s">
        <v>69</v>
      </c>
      <c r="N310" t="s">
        <v>55</v>
      </c>
      <c r="O310" t="s">
        <v>21</v>
      </c>
      <c r="P310">
        <v>2</v>
      </c>
      <c r="Q310">
        <v>31</v>
      </c>
      <c r="R310">
        <v>62</v>
      </c>
      <c r="S310">
        <v>10</v>
      </c>
      <c r="T310">
        <v>52</v>
      </c>
      <c r="U310" t="s">
        <v>64</v>
      </c>
      <c r="V310">
        <v>57</v>
      </c>
      <c r="W310" t="s">
        <v>35</v>
      </c>
      <c r="X310">
        <v>5</v>
      </c>
    </row>
    <row r="311" spans="1:24" x14ac:dyDescent="0.3">
      <c r="A311" t="s">
        <v>671</v>
      </c>
      <c r="B311" s="1">
        <v>45658</v>
      </c>
      <c r="C311">
        <f t="shared" si="30"/>
        <v>1</v>
      </c>
      <c r="D311">
        <f t="shared" si="31"/>
        <v>1</v>
      </c>
      <c r="E311">
        <f t="shared" si="32"/>
        <v>2025</v>
      </c>
      <c r="F311" t="str">
        <f t="shared" si="28"/>
        <v>Jan</v>
      </c>
      <c r="G311" t="str">
        <f t="shared" si="29"/>
        <v>Wed</v>
      </c>
      <c r="H311" t="str">
        <f t="shared" si="33"/>
        <v>Weekday</v>
      </c>
      <c r="I311" s="2">
        <v>0.37847222222222221</v>
      </c>
      <c r="J311" s="2">
        <f t="shared" si="34"/>
        <v>0.37847222222222221</v>
      </c>
      <c r="K311" t="s">
        <v>672</v>
      </c>
      <c r="L311" t="s">
        <v>31</v>
      </c>
      <c r="M311" t="s">
        <v>19</v>
      </c>
      <c r="N311" t="s">
        <v>40</v>
      </c>
      <c r="O311" t="s">
        <v>41</v>
      </c>
      <c r="P311">
        <v>2</v>
      </c>
      <c r="Q311">
        <v>14</v>
      </c>
      <c r="R311">
        <v>28</v>
      </c>
      <c r="S311">
        <v>10</v>
      </c>
      <c r="T311">
        <v>18</v>
      </c>
      <c r="U311" t="s">
        <v>64</v>
      </c>
      <c r="V311">
        <v>28</v>
      </c>
      <c r="W311" t="s">
        <v>23</v>
      </c>
      <c r="X311">
        <v>0</v>
      </c>
    </row>
    <row r="312" spans="1:24" x14ac:dyDescent="0.3">
      <c r="A312" t="s">
        <v>673</v>
      </c>
      <c r="B312" s="1">
        <v>45658</v>
      </c>
      <c r="C312">
        <f t="shared" si="30"/>
        <v>1</v>
      </c>
      <c r="D312">
        <f t="shared" si="31"/>
        <v>1</v>
      </c>
      <c r="E312">
        <f t="shared" si="32"/>
        <v>2025</v>
      </c>
      <c r="F312" t="str">
        <f t="shared" si="28"/>
        <v>Jan</v>
      </c>
      <c r="G312" t="str">
        <f t="shared" si="29"/>
        <v>Wed</v>
      </c>
      <c r="H312" t="str">
        <f t="shared" si="33"/>
        <v>Weekday</v>
      </c>
      <c r="I312" s="2">
        <v>0.37847222222222221</v>
      </c>
      <c r="J312" s="2">
        <f t="shared" si="34"/>
        <v>0.37847222222222221</v>
      </c>
      <c r="K312" t="s">
        <v>674</v>
      </c>
      <c r="L312" t="s">
        <v>87</v>
      </c>
      <c r="M312" t="s">
        <v>26</v>
      </c>
      <c r="N312" t="s">
        <v>55</v>
      </c>
      <c r="O312" t="s">
        <v>21</v>
      </c>
      <c r="P312">
        <v>2</v>
      </c>
      <c r="Q312">
        <v>100</v>
      </c>
      <c r="R312">
        <v>200</v>
      </c>
      <c r="S312">
        <v>0</v>
      </c>
      <c r="T312">
        <v>200</v>
      </c>
      <c r="U312" t="s">
        <v>34</v>
      </c>
      <c r="V312">
        <v>20</v>
      </c>
      <c r="W312" t="s">
        <v>23</v>
      </c>
      <c r="X312">
        <v>4</v>
      </c>
    </row>
    <row r="313" spans="1:24" x14ac:dyDescent="0.3">
      <c r="A313" t="s">
        <v>675</v>
      </c>
      <c r="B313" s="1">
        <v>45662</v>
      </c>
      <c r="C313">
        <f t="shared" si="30"/>
        <v>5</v>
      </c>
      <c r="D313">
        <f t="shared" si="31"/>
        <v>1</v>
      </c>
      <c r="E313">
        <f t="shared" si="32"/>
        <v>2025</v>
      </c>
      <c r="F313" t="str">
        <f t="shared" si="28"/>
        <v>Jan</v>
      </c>
      <c r="G313" t="str">
        <f t="shared" si="29"/>
        <v>Sun</v>
      </c>
      <c r="H313" t="str">
        <f t="shared" si="33"/>
        <v>Weekend</v>
      </c>
      <c r="I313" s="2">
        <v>0.37847222222222221</v>
      </c>
      <c r="J313" s="2">
        <f t="shared" si="34"/>
        <v>0.37847222222222221</v>
      </c>
      <c r="K313" t="s">
        <v>676</v>
      </c>
      <c r="L313" t="s">
        <v>52</v>
      </c>
      <c r="M313" t="s">
        <v>19</v>
      </c>
      <c r="N313" t="s">
        <v>27</v>
      </c>
      <c r="O313" t="s">
        <v>28</v>
      </c>
      <c r="P313">
        <v>4</v>
      </c>
      <c r="Q313">
        <v>45</v>
      </c>
      <c r="R313">
        <v>180</v>
      </c>
      <c r="S313">
        <v>0</v>
      </c>
      <c r="T313">
        <v>180</v>
      </c>
      <c r="U313" t="s">
        <v>64</v>
      </c>
      <c r="V313">
        <v>10</v>
      </c>
      <c r="W313" t="s">
        <v>35</v>
      </c>
      <c r="X313">
        <v>5</v>
      </c>
    </row>
    <row r="314" spans="1:24" x14ac:dyDescent="0.3">
      <c r="A314" t="s">
        <v>677</v>
      </c>
      <c r="B314" s="1">
        <v>45665</v>
      </c>
      <c r="C314">
        <f t="shared" si="30"/>
        <v>8</v>
      </c>
      <c r="D314">
        <f t="shared" si="31"/>
        <v>1</v>
      </c>
      <c r="E314">
        <f t="shared" si="32"/>
        <v>2025</v>
      </c>
      <c r="F314" t="str">
        <f t="shared" si="28"/>
        <v>Jan</v>
      </c>
      <c r="G314" t="str">
        <f t="shared" si="29"/>
        <v>Wed</v>
      </c>
      <c r="H314" t="str">
        <f t="shared" si="33"/>
        <v>Weekday</v>
      </c>
      <c r="I314" s="2">
        <v>0.4375</v>
      </c>
      <c r="J314" s="2">
        <f t="shared" si="34"/>
        <v>0.4375</v>
      </c>
      <c r="K314" t="s">
        <v>678</v>
      </c>
      <c r="L314" t="s">
        <v>87</v>
      </c>
      <c r="M314" t="s">
        <v>69</v>
      </c>
      <c r="N314" t="s">
        <v>55</v>
      </c>
      <c r="O314" t="s">
        <v>21</v>
      </c>
      <c r="P314">
        <v>4</v>
      </c>
      <c r="Q314">
        <v>82</v>
      </c>
      <c r="R314">
        <v>328</v>
      </c>
      <c r="S314">
        <v>0</v>
      </c>
      <c r="T314">
        <v>328</v>
      </c>
      <c r="U314" t="s">
        <v>64</v>
      </c>
      <c r="V314">
        <v>26</v>
      </c>
      <c r="W314" t="s">
        <v>23</v>
      </c>
      <c r="X314">
        <v>2</v>
      </c>
    </row>
    <row r="315" spans="1:24" x14ac:dyDescent="0.3">
      <c r="A315" t="s">
        <v>679</v>
      </c>
      <c r="B315" s="1">
        <v>45661</v>
      </c>
      <c r="C315">
        <f t="shared" si="30"/>
        <v>4</v>
      </c>
      <c r="D315">
        <f t="shared" si="31"/>
        <v>1</v>
      </c>
      <c r="E315">
        <f t="shared" si="32"/>
        <v>2025</v>
      </c>
      <c r="F315" t="str">
        <f t="shared" si="28"/>
        <v>Jan</v>
      </c>
      <c r="G315" t="str">
        <f t="shared" si="29"/>
        <v>Sat</v>
      </c>
      <c r="H315" t="str">
        <f t="shared" si="33"/>
        <v>Weekend</v>
      </c>
      <c r="I315" s="2">
        <v>0.37847222222222221</v>
      </c>
      <c r="J315" s="2">
        <f t="shared" si="34"/>
        <v>0.37847222222222221</v>
      </c>
      <c r="K315" t="s">
        <v>680</v>
      </c>
      <c r="L315" t="s">
        <v>52</v>
      </c>
      <c r="M315" t="s">
        <v>78</v>
      </c>
      <c r="N315" t="s">
        <v>79</v>
      </c>
      <c r="O315" t="s">
        <v>80</v>
      </c>
      <c r="P315">
        <v>6</v>
      </c>
      <c r="Q315">
        <v>59</v>
      </c>
      <c r="R315">
        <v>354</v>
      </c>
      <c r="S315">
        <v>0</v>
      </c>
      <c r="T315">
        <v>354</v>
      </c>
      <c r="U315" t="s">
        <v>34</v>
      </c>
      <c r="V315">
        <v>38</v>
      </c>
      <c r="W315" t="s">
        <v>23</v>
      </c>
      <c r="X315">
        <v>0</v>
      </c>
    </row>
    <row r="316" spans="1:24" x14ac:dyDescent="0.3">
      <c r="A316" t="s">
        <v>681</v>
      </c>
      <c r="B316" s="1">
        <v>45668</v>
      </c>
      <c r="C316">
        <f t="shared" si="30"/>
        <v>11</v>
      </c>
      <c r="D316">
        <f t="shared" si="31"/>
        <v>1</v>
      </c>
      <c r="E316">
        <f t="shared" si="32"/>
        <v>2025</v>
      </c>
      <c r="F316" t="str">
        <f t="shared" si="28"/>
        <v>Jan</v>
      </c>
      <c r="G316" t="str">
        <f t="shared" si="29"/>
        <v>Sat</v>
      </c>
      <c r="H316" t="str">
        <f t="shared" si="33"/>
        <v>Weekend</v>
      </c>
      <c r="I316" s="2">
        <v>0.78125</v>
      </c>
      <c r="J316" s="2">
        <f t="shared" si="34"/>
        <v>0.78125</v>
      </c>
      <c r="K316" t="s">
        <v>682</v>
      </c>
      <c r="L316" t="s">
        <v>31</v>
      </c>
      <c r="M316" t="s">
        <v>45</v>
      </c>
      <c r="N316" t="s">
        <v>33</v>
      </c>
      <c r="O316" t="s">
        <v>21</v>
      </c>
      <c r="P316">
        <v>6</v>
      </c>
      <c r="Q316">
        <v>26</v>
      </c>
      <c r="R316">
        <v>156</v>
      </c>
      <c r="S316">
        <v>0</v>
      </c>
      <c r="T316">
        <v>156</v>
      </c>
      <c r="U316" t="s">
        <v>34</v>
      </c>
      <c r="V316">
        <v>20</v>
      </c>
      <c r="W316" t="s">
        <v>35</v>
      </c>
      <c r="X316">
        <v>3</v>
      </c>
    </row>
    <row r="317" spans="1:24" x14ac:dyDescent="0.3">
      <c r="A317" t="s">
        <v>683</v>
      </c>
      <c r="B317" s="1">
        <v>45663</v>
      </c>
      <c r="C317">
        <f t="shared" si="30"/>
        <v>6</v>
      </c>
      <c r="D317">
        <f t="shared" si="31"/>
        <v>1</v>
      </c>
      <c r="E317">
        <f t="shared" si="32"/>
        <v>2025</v>
      </c>
      <c r="F317" t="str">
        <f t="shared" si="28"/>
        <v>Jan</v>
      </c>
      <c r="G317" t="str">
        <f t="shared" si="29"/>
        <v>Mon</v>
      </c>
      <c r="H317" t="str">
        <f t="shared" si="33"/>
        <v>Weekday</v>
      </c>
      <c r="I317" s="2">
        <v>0.76041666666666663</v>
      </c>
      <c r="J317" s="2">
        <f t="shared" si="34"/>
        <v>0.76041666666666663</v>
      </c>
      <c r="K317" t="s">
        <v>684</v>
      </c>
      <c r="L317" t="s">
        <v>58</v>
      </c>
      <c r="M317" t="s">
        <v>59</v>
      </c>
      <c r="N317" t="s">
        <v>79</v>
      </c>
      <c r="O317" t="s">
        <v>80</v>
      </c>
      <c r="P317">
        <v>6</v>
      </c>
      <c r="Q317">
        <v>94</v>
      </c>
      <c r="R317">
        <v>574</v>
      </c>
      <c r="S317">
        <v>10</v>
      </c>
      <c r="T317">
        <v>554</v>
      </c>
      <c r="U317" t="s">
        <v>42</v>
      </c>
      <c r="V317">
        <v>55</v>
      </c>
      <c r="W317" t="s">
        <v>23</v>
      </c>
      <c r="X317">
        <v>1</v>
      </c>
    </row>
    <row r="318" spans="1:24" x14ac:dyDescent="0.3">
      <c r="A318" t="s">
        <v>685</v>
      </c>
      <c r="B318" s="1">
        <v>45666</v>
      </c>
      <c r="C318">
        <f t="shared" si="30"/>
        <v>9</v>
      </c>
      <c r="D318">
        <f t="shared" si="31"/>
        <v>1</v>
      </c>
      <c r="E318">
        <f t="shared" si="32"/>
        <v>2025</v>
      </c>
      <c r="F318" t="str">
        <f t="shared" si="28"/>
        <v>Jan</v>
      </c>
      <c r="G318" t="str">
        <f t="shared" si="29"/>
        <v>Thu</v>
      </c>
      <c r="H318" t="str">
        <f t="shared" si="33"/>
        <v>Weekday</v>
      </c>
      <c r="I318" s="2">
        <v>0.37847222222222221</v>
      </c>
      <c r="J318" s="2">
        <f t="shared" si="34"/>
        <v>0.37847222222222221</v>
      </c>
      <c r="K318" t="s">
        <v>686</v>
      </c>
      <c r="L318" t="s">
        <v>49</v>
      </c>
      <c r="M318" t="s">
        <v>32</v>
      </c>
      <c r="N318" t="s">
        <v>20</v>
      </c>
      <c r="O318" t="s">
        <v>21</v>
      </c>
      <c r="P318">
        <v>1</v>
      </c>
      <c r="Q318">
        <v>72</v>
      </c>
      <c r="R318">
        <v>72</v>
      </c>
      <c r="S318">
        <v>0</v>
      </c>
      <c r="T318">
        <v>72</v>
      </c>
      <c r="U318" t="s">
        <v>22</v>
      </c>
      <c r="V318">
        <v>31</v>
      </c>
      <c r="W318" t="s">
        <v>23</v>
      </c>
      <c r="X318">
        <v>5</v>
      </c>
    </row>
    <row r="319" spans="1:24" x14ac:dyDescent="0.3">
      <c r="A319" t="s">
        <v>687</v>
      </c>
      <c r="B319" s="1">
        <v>45668</v>
      </c>
      <c r="C319">
        <f t="shared" si="30"/>
        <v>11</v>
      </c>
      <c r="D319">
        <f t="shared" si="31"/>
        <v>1</v>
      </c>
      <c r="E319">
        <f t="shared" si="32"/>
        <v>2025</v>
      </c>
      <c r="F319" t="str">
        <f t="shared" si="28"/>
        <v>Jan</v>
      </c>
      <c r="G319" t="str">
        <f t="shared" si="29"/>
        <v>Sat</v>
      </c>
      <c r="H319" t="str">
        <f t="shared" si="33"/>
        <v>Weekend</v>
      </c>
      <c r="I319" s="2">
        <v>0.76041666666666663</v>
      </c>
      <c r="J319" s="2">
        <f t="shared" si="34"/>
        <v>0.76041666666666663</v>
      </c>
      <c r="K319" t="s">
        <v>688</v>
      </c>
      <c r="L319" t="s">
        <v>58</v>
      </c>
      <c r="M319" t="s">
        <v>39</v>
      </c>
      <c r="N319" t="s">
        <v>55</v>
      </c>
      <c r="O319" t="s">
        <v>21</v>
      </c>
      <c r="P319">
        <v>6</v>
      </c>
      <c r="Q319">
        <v>39</v>
      </c>
      <c r="R319">
        <v>234</v>
      </c>
      <c r="S319">
        <v>10</v>
      </c>
      <c r="T319">
        <v>224</v>
      </c>
      <c r="U319" t="s">
        <v>64</v>
      </c>
      <c r="V319">
        <v>37</v>
      </c>
      <c r="W319" t="s">
        <v>35</v>
      </c>
      <c r="X319">
        <v>3</v>
      </c>
    </row>
    <row r="320" spans="1:24" x14ac:dyDescent="0.3">
      <c r="A320" t="s">
        <v>689</v>
      </c>
      <c r="B320" s="1">
        <v>45664</v>
      </c>
      <c r="C320">
        <f t="shared" si="30"/>
        <v>7</v>
      </c>
      <c r="D320">
        <f t="shared" si="31"/>
        <v>1</v>
      </c>
      <c r="E320">
        <f t="shared" si="32"/>
        <v>2025</v>
      </c>
      <c r="F320" t="str">
        <f t="shared" si="28"/>
        <v>Jan</v>
      </c>
      <c r="G320" t="str">
        <f t="shared" si="29"/>
        <v>Tue</v>
      </c>
      <c r="H320" t="str">
        <f t="shared" si="33"/>
        <v>Weekday</v>
      </c>
      <c r="I320" s="2">
        <v>0.4375</v>
      </c>
      <c r="J320" s="2">
        <f t="shared" si="34"/>
        <v>0.4375</v>
      </c>
      <c r="K320" t="s">
        <v>690</v>
      </c>
      <c r="L320" t="s">
        <v>49</v>
      </c>
      <c r="M320" t="s">
        <v>45</v>
      </c>
      <c r="N320" t="s">
        <v>93</v>
      </c>
      <c r="O320" t="s">
        <v>94</v>
      </c>
      <c r="P320">
        <v>3</v>
      </c>
      <c r="Q320">
        <v>102</v>
      </c>
      <c r="R320">
        <v>306</v>
      </c>
      <c r="S320">
        <v>5</v>
      </c>
      <c r="T320">
        <v>301</v>
      </c>
      <c r="U320" t="s">
        <v>64</v>
      </c>
      <c r="V320">
        <v>21</v>
      </c>
      <c r="W320" t="s">
        <v>23</v>
      </c>
      <c r="X320">
        <v>5</v>
      </c>
    </row>
    <row r="321" spans="1:24" x14ac:dyDescent="0.3">
      <c r="A321" t="s">
        <v>691</v>
      </c>
      <c r="B321" s="1">
        <v>45667</v>
      </c>
      <c r="C321">
        <f t="shared" si="30"/>
        <v>10</v>
      </c>
      <c r="D321">
        <f t="shared" si="31"/>
        <v>1</v>
      </c>
      <c r="E321">
        <f t="shared" si="32"/>
        <v>2025</v>
      </c>
      <c r="F321" t="str">
        <f t="shared" si="28"/>
        <v>Jan</v>
      </c>
      <c r="G321" t="str">
        <f t="shared" si="29"/>
        <v>Fri</v>
      </c>
      <c r="H321" t="str">
        <f t="shared" si="33"/>
        <v>Weekday</v>
      </c>
      <c r="I321" s="2">
        <v>0.4375</v>
      </c>
      <c r="J321" s="2">
        <f t="shared" si="34"/>
        <v>0.4375</v>
      </c>
      <c r="K321" t="s">
        <v>692</v>
      </c>
      <c r="L321" t="s">
        <v>49</v>
      </c>
      <c r="M321" t="s">
        <v>32</v>
      </c>
      <c r="N321" t="s">
        <v>105</v>
      </c>
      <c r="O321" t="s">
        <v>106</v>
      </c>
      <c r="P321">
        <v>4</v>
      </c>
      <c r="Q321">
        <v>79</v>
      </c>
      <c r="R321">
        <v>316</v>
      </c>
      <c r="S321">
        <v>0</v>
      </c>
      <c r="T321">
        <v>316</v>
      </c>
      <c r="U321" t="s">
        <v>42</v>
      </c>
      <c r="V321">
        <v>55</v>
      </c>
      <c r="W321" t="s">
        <v>23</v>
      </c>
      <c r="X321">
        <v>0</v>
      </c>
    </row>
    <row r="322" spans="1:24" x14ac:dyDescent="0.3">
      <c r="A322" t="s">
        <v>693</v>
      </c>
      <c r="B322" s="1">
        <v>45665</v>
      </c>
      <c r="C322">
        <f t="shared" si="30"/>
        <v>8</v>
      </c>
      <c r="D322">
        <f t="shared" si="31"/>
        <v>1</v>
      </c>
      <c r="E322">
        <f t="shared" si="32"/>
        <v>2025</v>
      </c>
      <c r="F322" t="str">
        <f t="shared" ref="F322:F385" si="35">TEXT(B322,"mmm")</f>
        <v>Jan</v>
      </c>
      <c r="G322" t="str">
        <f t="shared" ref="G322:G385" si="36">TEXT(B322,"ddd")</f>
        <v>Wed</v>
      </c>
      <c r="H322" t="str">
        <f t="shared" si="33"/>
        <v>Weekday</v>
      </c>
      <c r="I322" s="2">
        <v>0.78125</v>
      </c>
      <c r="J322" s="2">
        <f t="shared" si="34"/>
        <v>0.78125</v>
      </c>
      <c r="K322" t="s">
        <v>694</v>
      </c>
      <c r="L322" t="s">
        <v>49</v>
      </c>
      <c r="M322" t="s">
        <v>19</v>
      </c>
      <c r="N322" t="s">
        <v>40</v>
      </c>
      <c r="O322" t="s">
        <v>41</v>
      </c>
      <c r="P322">
        <v>3</v>
      </c>
      <c r="Q322">
        <v>45</v>
      </c>
      <c r="R322">
        <v>135</v>
      </c>
      <c r="S322">
        <v>5</v>
      </c>
      <c r="T322">
        <v>130</v>
      </c>
      <c r="U322" t="s">
        <v>64</v>
      </c>
      <c r="V322">
        <v>23</v>
      </c>
      <c r="W322" t="s">
        <v>35</v>
      </c>
      <c r="X322">
        <v>3</v>
      </c>
    </row>
    <row r="323" spans="1:24" x14ac:dyDescent="0.3">
      <c r="A323" t="s">
        <v>695</v>
      </c>
      <c r="B323" s="1">
        <v>45663</v>
      </c>
      <c r="C323">
        <f t="shared" ref="C323:C386" si="37">DAY(B323)</f>
        <v>6</v>
      </c>
      <c r="D323">
        <f t="shared" ref="D323:D386" si="38">MONTH(B323)</f>
        <v>1</v>
      </c>
      <c r="E323">
        <f t="shared" ref="E323:E386" si="39">YEAR(B323)</f>
        <v>2025</v>
      </c>
      <c r="F323" t="str">
        <f t="shared" si="35"/>
        <v>Jan</v>
      </c>
      <c r="G323" t="str">
        <f t="shared" si="36"/>
        <v>Mon</v>
      </c>
      <c r="H323" t="str">
        <f t="shared" ref="H323:H386" si="40">IF(OR(G323="sat",G323="sun"),"Weekend","Weekday")</f>
        <v>Weekday</v>
      </c>
      <c r="I323" s="2">
        <v>0.37847222222222221</v>
      </c>
      <c r="J323" s="2">
        <f t="shared" ref="J323:J386" si="41">IF(ISNUMBER(I323),I323,IFERROR(TIMEVALUE(I323),TIMEVALUE(SUBSTITUTE(I323,".",":"))))</f>
        <v>0.37847222222222221</v>
      </c>
      <c r="K323" t="s">
        <v>696</v>
      </c>
      <c r="L323" t="s">
        <v>52</v>
      </c>
      <c r="M323" t="s">
        <v>78</v>
      </c>
      <c r="N323" t="s">
        <v>105</v>
      </c>
      <c r="O323" t="s">
        <v>106</v>
      </c>
      <c r="P323">
        <v>3</v>
      </c>
      <c r="Q323">
        <v>35</v>
      </c>
      <c r="R323">
        <v>105</v>
      </c>
      <c r="S323">
        <v>5</v>
      </c>
      <c r="T323">
        <v>100</v>
      </c>
      <c r="U323" t="s">
        <v>42</v>
      </c>
      <c r="V323">
        <v>49</v>
      </c>
      <c r="W323" t="s">
        <v>23</v>
      </c>
      <c r="X323">
        <v>4</v>
      </c>
    </row>
    <row r="324" spans="1:24" x14ac:dyDescent="0.3">
      <c r="A324" t="s">
        <v>697</v>
      </c>
      <c r="B324" s="1">
        <v>45667</v>
      </c>
      <c r="C324">
        <f t="shared" si="37"/>
        <v>10</v>
      </c>
      <c r="D324">
        <f t="shared" si="38"/>
        <v>1</v>
      </c>
      <c r="E324">
        <f t="shared" si="39"/>
        <v>2025</v>
      </c>
      <c r="F324" t="str">
        <f t="shared" si="35"/>
        <v>Jan</v>
      </c>
      <c r="G324" t="str">
        <f t="shared" si="36"/>
        <v>Fri</v>
      </c>
      <c r="H324" t="str">
        <f t="shared" si="40"/>
        <v>Weekday</v>
      </c>
      <c r="I324" s="2">
        <v>0.4375</v>
      </c>
      <c r="J324" s="2">
        <f t="shared" si="41"/>
        <v>0.4375</v>
      </c>
      <c r="K324" t="s">
        <v>698</v>
      </c>
      <c r="L324" t="s">
        <v>38</v>
      </c>
      <c r="M324" t="s">
        <v>59</v>
      </c>
      <c r="N324" t="s">
        <v>93</v>
      </c>
      <c r="O324" t="s">
        <v>94</v>
      </c>
      <c r="P324">
        <v>1</v>
      </c>
      <c r="Q324">
        <v>55</v>
      </c>
      <c r="R324">
        <v>65</v>
      </c>
      <c r="S324">
        <v>0</v>
      </c>
      <c r="T324">
        <v>55</v>
      </c>
      <c r="U324" t="s">
        <v>64</v>
      </c>
      <c r="V324">
        <v>50</v>
      </c>
      <c r="W324" t="s">
        <v>23</v>
      </c>
      <c r="X324">
        <v>0</v>
      </c>
    </row>
    <row r="325" spans="1:24" x14ac:dyDescent="0.3">
      <c r="A325" t="s">
        <v>699</v>
      </c>
      <c r="B325" s="1">
        <v>45668</v>
      </c>
      <c r="C325">
        <f t="shared" si="37"/>
        <v>11</v>
      </c>
      <c r="D325">
        <f t="shared" si="38"/>
        <v>1</v>
      </c>
      <c r="E325">
        <f t="shared" si="39"/>
        <v>2025</v>
      </c>
      <c r="F325" t="str">
        <f t="shared" si="35"/>
        <v>Jan</v>
      </c>
      <c r="G325" t="str">
        <f t="shared" si="36"/>
        <v>Sat</v>
      </c>
      <c r="H325" t="str">
        <f t="shared" si="40"/>
        <v>Weekend</v>
      </c>
      <c r="I325" s="2">
        <v>0.37847222222222221</v>
      </c>
      <c r="J325" s="2">
        <f t="shared" si="41"/>
        <v>0.37847222222222221</v>
      </c>
      <c r="K325" t="s">
        <v>700</v>
      </c>
      <c r="L325" t="s">
        <v>31</v>
      </c>
      <c r="M325" t="s">
        <v>59</v>
      </c>
      <c r="N325" t="s">
        <v>105</v>
      </c>
      <c r="O325" t="s">
        <v>106</v>
      </c>
      <c r="P325">
        <v>1</v>
      </c>
      <c r="Q325">
        <v>107</v>
      </c>
      <c r="R325">
        <v>107</v>
      </c>
      <c r="S325">
        <v>5</v>
      </c>
      <c r="T325">
        <v>102</v>
      </c>
      <c r="U325" t="s">
        <v>34</v>
      </c>
      <c r="V325">
        <v>50</v>
      </c>
      <c r="W325" t="s">
        <v>23</v>
      </c>
      <c r="X325">
        <v>0</v>
      </c>
    </row>
    <row r="326" spans="1:24" x14ac:dyDescent="0.3">
      <c r="A326" t="s">
        <v>701</v>
      </c>
      <c r="B326" s="1">
        <v>45662</v>
      </c>
      <c r="C326">
        <f t="shared" si="37"/>
        <v>5</v>
      </c>
      <c r="D326">
        <f t="shared" si="38"/>
        <v>1</v>
      </c>
      <c r="E326">
        <f t="shared" si="39"/>
        <v>2025</v>
      </c>
      <c r="F326" t="str">
        <f t="shared" si="35"/>
        <v>Jan</v>
      </c>
      <c r="G326" t="str">
        <f t="shared" si="36"/>
        <v>Sun</v>
      </c>
      <c r="H326" t="str">
        <f t="shared" si="40"/>
        <v>Weekend</v>
      </c>
      <c r="I326" s="2">
        <v>0.78125</v>
      </c>
      <c r="J326" s="2">
        <f t="shared" si="41"/>
        <v>0.78125</v>
      </c>
      <c r="K326" t="s">
        <v>702</v>
      </c>
      <c r="L326" t="s">
        <v>90</v>
      </c>
      <c r="M326" t="s">
        <v>45</v>
      </c>
      <c r="N326" t="s">
        <v>105</v>
      </c>
      <c r="O326" t="s">
        <v>106</v>
      </c>
      <c r="P326">
        <v>1</v>
      </c>
      <c r="Q326">
        <v>33</v>
      </c>
      <c r="R326">
        <v>33</v>
      </c>
      <c r="S326">
        <v>0</v>
      </c>
      <c r="T326">
        <v>33</v>
      </c>
      <c r="U326" t="s">
        <v>42</v>
      </c>
      <c r="V326">
        <v>23</v>
      </c>
      <c r="W326" t="s">
        <v>23</v>
      </c>
      <c r="X326">
        <v>4</v>
      </c>
    </row>
    <row r="327" spans="1:24" x14ac:dyDescent="0.3">
      <c r="A327" t="s">
        <v>703</v>
      </c>
      <c r="B327" s="1">
        <v>45658</v>
      </c>
      <c r="C327">
        <f t="shared" si="37"/>
        <v>1</v>
      </c>
      <c r="D327">
        <f t="shared" si="38"/>
        <v>1</v>
      </c>
      <c r="E327">
        <f t="shared" si="39"/>
        <v>2025</v>
      </c>
      <c r="F327" t="str">
        <f t="shared" si="35"/>
        <v>Jan</v>
      </c>
      <c r="G327" t="str">
        <f t="shared" si="36"/>
        <v>Wed</v>
      </c>
      <c r="H327" t="str">
        <f t="shared" si="40"/>
        <v>Weekday</v>
      </c>
      <c r="I327" s="2">
        <v>0.76041666666666663</v>
      </c>
      <c r="J327" s="2">
        <f t="shared" si="41"/>
        <v>0.76041666666666663</v>
      </c>
      <c r="K327" t="s">
        <v>704</v>
      </c>
      <c r="L327" t="s">
        <v>31</v>
      </c>
      <c r="M327" t="s">
        <v>59</v>
      </c>
      <c r="N327" t="s">
        <v>79</v>
      </c>
      <c r="O327" t="s">
        <v>80</v>
      </c>
      <c r="P327">
        <v>6</v>
      </c>
      <c r="Q327">
        <v>36</v>
      </c>
      <c r="R327">
        <v>216</v>
      </c>
      <c r="S327">
        <v>5</v>
      </c>
      <c r="T327">
        <v>211</v>
      </c>
      <c r="U327" t="s">
        <v>64</v>
      </c>
      <c r="V327">
        <v>11</v>
      </c>
      <c r="W327" t="s">
        <v>23</v>
      </c>
      <c r="X327">
        <v>4</v>
      </c>
    </row>
    <row r="328" spans="1:24" x14ac:dyDescent="0.3">
      <c r="A328" t="s">
        <v>705</v>
      </c>
      <c r="B328" s="1">
        <v>45664</v>
      </c>
      <c r="C328">
        <f t="shared" si="37"/>
        <v>7</v>
      </c>
      <c r="D328">
        <f t="shared" si="38"/>
        <v>1</v>
      </c>
      <c r="E328">
        <f t="shared" si="39"/>
        <v>2025</v>
      </c>
      <c r="F328" t="str">
        <f t="shared" si="35"/>
        <v>Jan</v>
      </c>
      <c r="G328" t="str">
        <f t="shared" si="36"/>
        <v>Tue</v>
      </c>
      <c r="H328" t="str">
        <f t="shared" si="40"/>
        <v>Weekday</v>
      </c>
      <c r="I328" s="2">
        <v>0.4375</v>
      </c>
      <c r="J328" s="2">
        <f t="shared" si="41"/>
        <v>0.4375</v>
      </c>
      <c r="K328" t="s">
        <v>706</v>
      </c>
      <c r="L328" t="s">
        <v>52</v>
      </c>
      <c r="M328" t="s">
        <v>39</v>
      </c>
      <c r="N328" t="s">
        <v>40</v>
      </c>
      <c r="O328" t="s">
        <v>41</v>
      </c>
      <c r="P328">
        <v>3</v>
      </c>
      <c r="Q328">
        <v>102</v>
      </c>
      <c r="R328">
        <v>306</v>
      </c>
      <c r="S328">
        <v>10</v>
      </c>
      <c r="T328">
        <v>296</v>
      </c>
      <c r="U328" t="s">
        <v>22</v>
      </c>
      <c r="V328">
        <v>26</v>
      </c>
      <c r="W328" t="s">
        <v>23</v>
      </c>
      <c r="X328">
        <v>4</v>
      </c>
    </row>
    <row r="329" spans="1:24" x14ac:dyDescent="0.3">
      <c r="A329" t="s">
        <v>707</v>
      </c>
      <c r="B329" s="1">
        <v>45660</v>
      </c>
      <c r="C329">
        <f t="shared" si="37"/>
        <v>3</v>
      </c>
      <c r="D329">
        <f t="shared" si="38"/>
        <v>1</v>
      </c>
      <c r="E329">
        <f t="shared" si="39"/>
        <v>2025</v>
      </c>
      <c r="F329" t="str">
        <f t="shared" si="35"/>
        <v>Jan</v>
      </c>
      <c r="G329" t="str">
        <f t="shared" si="36"/>
        <v>Fri</v>
      </c>
      <c r="H329" t="str">
        <f t="shared" si="40"/>
        <v>Weekday</v>
      </c>
      <c r="I329" s="2">
        <v>0.78125</v>
      </c>
      <c r="J329" s="2">
        <f t="shared" si="41"/>
        <v>0.78125</v>
      </c>
      <c r="K329" t="s">
        <v>708</v>
      </c>
      <c r="L329" t="s">
        <v>52</v>
      </c>
      <c r="M329" t="s">
        <v>39</v>
      </c>
      <c r="N329" t="s">
        <v>79</v>
      </c>
      <c r="O329" t="s">
        <v>80</v>
      </c>
      <c r="P329">
        <v>3</v>
      </c>
      <c r="Q329">
        <v>104</v>
      </c>
      <c r="R329">
        <v>312</v>
      </c>
      <c r="S329">
        <v>10</v>
      </c>
      <c r="T329">
        <v>302</v>
      </c>
      <c r="U329" t="s">
        <v>64</v>
      </c>
      <c r="V329">
        <v>30</v>
      </c>
      <c r="W329" t="s">
        <v>35</v>
      </c>
      <c r="X329">
        <v>1</v>
      </c>
    </row>
    <row r="330" spans="1:24" x14ac:dyDescent="0.3">
      <c r="A330" t="s">
        <v>709</v>
      </c>
      <c r="B330" s="1">
        <v>45663</v>
      </c>
      <c r="C330">
        <f t="shared" si="37"/>
        <v>6</v>
      </c>
      <c r="D330">
        <f t="shared" si="38"/>
        <v>1</v>
      </c>
      <c r="E330">
        <f t="shared" si="39"/>
        <v>2025</v>
      </c>
      <c r="F330" t="str">
        <f t="shared" si="35"/>
        <v>Jan</v>
      </c>
      <c r="G330" t="str">
        <f t="shared" si="36"/>
        <v>Mon</v>
      </c>
      <c r="H330" t="str">
        <f t="shared" si="40"/>
        <v>Weekday</v>
      </c>
      <c r="I330" s="2">
        <v>0.4375</v>
      </c>
      <c r="J330" s="2">
        <f t="shared" si="41"/>
        <v>0.4375</v>
      </c>
      <c r="K330" t="s">
        <v>710</v>
      </c>
      <c r="L330" t="s">
        <v>58</v>
      </c>
      <c r="M330" t="s">
        <v>45</v>
      </c>
      <c r="N330" t="s">
        <v>46</v>
      </c>
      <c r="O330" t="s">
        <v>28</v>
      </c>
      <c r="P330">
        <v>3</v>
      </c>
      <c r="Q330">
        <v>104</v>
      </c>
      <c r="R330">
        <v>312</v>
      </c>
      <c r="S330">
        <v>0</v>
      </c>
      <c r="T330">
        <v>312</v>
      </c>
      <c r="U330" t="s">
        <v>64</v>
      </c>
      <c r="V330">
        <v>24</v>
      </c>
      <c r="W330" t="s">
        <v>23</v>
      </c>
      <c r="X330">
        <v>3</v>
      </c>
    </row>
    <row r="331" spans="1:24" x14ac:dyDescent="0.3">
      <c r="A331" t="s">
        <v>711</v>
      </c>
      <c r="B331" s="1">
        <v>45667</v>
      </c>
      <c r="C331">
        <f t="shared" si="37"/>
        <v>10</v>
      </c>
      <c r="D331">
        <f t="shared" si="38"/>
        <v>1</v>
      </c>
      <c r="E331">
        <f t="shared" si="39"/>
        <v>2025</v>
      </c>
      <c r="F331" t="str">
        <f t="shared" si="35"/>
        <v>Jan</v>
      </c>
      <c r="G331" t="str">
        <f t="shared" si="36"/>
        <v>Fri</v>
      </c>
      <c r="H331" t="str">
        <f t="shared" si="40"/>
        <v>Weekday</v>
      </c>
      <c r="I331" s="2">
        <v>0.78125</v>
      </c>
      <c r="J331" s="2">
        <f t="shared" si="41"/>
        <v>0.78125</v>
      </c>
      <c r="K331" t="s">
        <v>712</v>
      </c>
      <c r="L331" t="s">
        <v>31</v>
      </c>
      <c r="M331" t="s">
        <v>45</v>
      </c>
      <c r="N331" t="s">
        <v>27</v>
      </c>
      <c r="O331" t="s">
        <v>28</v>
      </c>
      <c r="P331">
        <v>6</v>
      </c>
      <c r="Q331">
        <v>115</v>
      </c>
      <c r="R331">
        <v>690</v>
      </c>
      <c r="S331">
        <v>0</v>
      </c>
      <c r="T331">
        <v>690</v>
      </c>
      <c r="U331" t="s">
        <v>22</v>
      </c>
      <c r="V331">
        <v>37</v>
      </c>
      <c r="W331" t="s">
        <v>23</v>
      </c>
      <c r="X331">
        <v>3</v>
      </c>
    </row>
    <row r="332" spans="1:24" x14ac:dyDescent="0.3">
      <c r="A332" t="s">
        <v>713</v>
      </c>
      <c r="B332" s="1">
        <v>45664</v>
      </c>
      <c r="C332">
        <f t="shared" si="37"/>
        <v>7</v>
      </c>
      <c r="D332">
        <f t="shared" si="38"/>
        <v>1</v>
      </c>
      <c r="E332">
        <f t="shared" si="39"/>
        <v>2025</v>
      </c>
      <c r="F332" t="str">
        <f t="shared" si="35"/>
        <v>Jan</v>
      </c>
      <c r="G332" t="str">
        <f t="shared" si="36"/>
        <v>Tue</v>
      </c>
      <c r="H332" t="str">
        <f t="shared" si="40"/>
        <v>Weekday</v>
      </c>
      <c r="I332" s="2">
        <v>0.78125</v>
      </c>
      <c r="J332" s="2">
        <f t="shared" si="41"/>
        <v>0.78125</v>
      </c>
      <c r="K332" t="s">
        <v>714</v>
      </c>
      <c r="L332" t="s">
        <v>52</v>
      </c>
      <c r="M332" t="s">
        <v>59</v>
      </c>
      <c r="N332" t="s">
        <v>79</v>
      </c>
      <c r="O332" t="s">
        <v>80</v>
      </c>
      <c r="P332">
        <v>5</v>
      </c>
      <c r="Q332">
        <v>68</v>
      </c>
      <c r="R332">
        <v>340</v>
      </c>
      <c r="S332">
        <v>10</v>
      </c>
      <c r="T332">
        <v>330</v>
      </c>
      <c r="U332" t="s">
        <v>64</v>
      </c>
      <c r="V332">
        <v>31</v>
      </c>
      <c r="W332" t="s">
        <v>23</v>
      </c>
      <c r="X332">
        <v>5</v>
      </c>
    </row>
    <row r="333" spans="1:24" x14ac:dyDescent="0.3">
      <c r="A333" t="s">
        <v>715</v>
      </c>
      <c r="B333" s="1">
        <v>45668</v>
      </c>
      <c r="C333">
        <f t="shared" si="37"/>
        <v>11</v>
      </c>
      <c r="D333">
        <f t="shared" si="38"/>
        <v>1</v>
      </c>
      <c r="E333">
        <f t="shared" si="39"/>
        <v>2025</v>
      </c>
      <c r="F333" t="str">
        <f t="shared" si="35"/>
        <v>Jan</v>
      </c>
      <c r="G333" t="str">
        <f t="shared" si="36"/>
        <v>Sat</v>
      </c>
      <c r="H333" t="str">
        <f t="shared" si="40"/>
        <v>Weekend</v>
      </c>
      <c r="I333" s="2">
        <v>0.76041666666666663</v>
      </c>
      <c r="J333" s="2">
        <f t="shared" si="41"/>
        <v>0.76041666666666663</v>
      </c>
      <c r="K333" t="s">
        <v>716</v>
      </c>
      <c r="L333" t="s">
        <v>31</v>
      </c>
      <c r="M333" t="s">
        <v>78</v>
      </c>
      <c r="N333" t="s">
        <v>55</v>
      </c>
      <c r="O333" t="s">
        <v>21</v>
      </c>
      <c r="P333">
        <v>5</v>
      </c>
      <c r="Q333">
        <v>15</v>
      </c>
      <c r="R333">
        <v>75</v>
      </c>
      <c r="S333">
        <v>10</v>
      </c>
      <c r="T333">
        <v>65</v>
      </c>
      <c r="U333" t="s">
        <v>64</v>
      </c>
      <c r="V333">
        <v>18</v>
      </c>
      <c r="W333" t="s">
        <v>23</v>
      </c>
      <c r="X333">
        <v>0</v>
      </c>
    </row>
    <row r="334" spans="1:24" x14ac:dyDescent="0.3">
      <c r="A334" t="s">
        <v>717</v>
      </c>
      <c r="B334" s="1">
        <v>45664</v>
      </c>
      <c r="C334">
        <f t="shared" si="37"/>
        <v>7</v>
      </c>
      <c r="D334">
        <f t="shared" si="38"/>
        <v>1</v>
      </c>
      <c r="E334">
        <f t="shared" si="39"/>
        <v>2025</v>
      </c>
      <c r="F334" t="str">
        <f t="shared" si="35"/>
        <v>Jan</v>
      </c>
      <c r="G334" t="str">
        <f t="shared" si="36"/>
        <v>Tue</v>
      </c>
      <c r="H334" t="str">
        <f t="shared" si="40"/>
        <v>Weekday</v>
      </c>
      <c r="I334" s="2">
        <v>0.76041666666666663</v>
      </c>
      <c r="J334" s="2">
        <f t="shared" si="41"/>
        <v>0.76041666666666663</v>
      </c>
      <c r="K334" t="s">
        <v>718</v>
      </c>
      <c r="L334" t="s">
        <v>58</v>
      </c>
      <c r="M334" t="s">
        <v>39</v>
      </c>
      <c r="N334" t="s">
        <v>20</v>
      </c>
      <c r="O334" t="s">
        <v>21</v>
      </c>
      <c r="P334">
        <v>3</v>
      </c>
      <c r="Q334">
        <v>19</v>
      </c>
      <c r="R334">
        <v>57</v>
      </c>
      <c r="S334">
        <v>0</v>
      </c>
      <c r="T334">
        <v>57</v>
      </c>
      <c r="U334" t="s">
        <v>64</v>
      </c>
      <c r="V334">
        <v>48</v>
      </c>
      <c r="W334" t="s">
        <v>23</v>
      </c>
      <c r="X334">
        <v>4</v>
      </c>
    </row>
    <row r="335" spans="1:24" x14ac:dyDescent="0.3">
      <c r="A335" t="s">
        <v>719</v>
      </c>
      <c r="B335" s="1">
        <v>45659</v>
      </c>
      <c r="C335">
        <f t="shared" si="37"/>
        <v>2</v>
      </c>
      <c r="D335">
        <f t="shared" si="38"/>
        <v>1</v>
      </c>
      <c r="E335">
        <f t="shared" si="39"/>
        <v>2025</v>
      </c>
      <c r="F335" t="str">
        <f t="shared" si="35"/>
        <v>Jan</v>
      </c>
      <c r="G335" t="str">
        <f t="shared" si="36"/>
        <v>Thu</v>
      </c>
      <c r="H335" t="str">
        <f t="shared" si="40"/>
        <v>Weekday</v>
      </c>
      <c r="I335" s="2">
        <v>0.78125</v>
      </c>
      <c r="J335" s="2">
        <f t="shared" si="41"/>
        <v>0.78125</v>
      </c>
      <c r="K335" t="s">
        <v>720</v>
      </c>
      <c r="L335" t="s">
        <v>90</v>
      </c>
      <c r="M335" t="s">
        <v>69</v>
      </c>
      <c r="N335" t="s">
        <v>40</v>
      </c>
      <c r="O335" t="s">
        <v>41</v>
      </c>
      <c r="P335">
        <v>4</v>
      </c>
      <c r="Q335">
        <v>84</v>
      </c>
      <c r="R335">
        <v>336</v>
      </c>
      <c r="S335">
        <v>5</v>
      </c>
      <c r="T335">
        <v>331</v>
      </c>
      <c r="U335" t="s">
        <v>22</v>
      </c>
      <c r="V335">
        <v>30</v>
      </c>
      <c r="W335" t="s">
        <v>35</v>
      </c>
      <c r="X335">
        <v>4</v>
      </c>
    </row>
    <row r="336" spans="1:24" x14ac:dyDescent="0.3">
      <c r="A336" t="s">
        <v>721</v>
      </c>
      <c r="B336" s="1">
        <v>45668</v>
      </c>
      <c r="C336">
        <f t="shared" si="37"/>
        <v>11</v>
      </c>
      <c r="D336">
        <f t="shared" si="38"/>
        <v>1</v>
      </c>
      <c r="E336">
        <f t="shared" si="39"/>
        <v>2025</v>
      </c>
      <c r="F336" t="str">
        <f t="shared" si="35"/>
        <v>Jan</v>
      </c>
      <c r="G336" t="str">
        <f t="shared" si="36"/>
        <v>Sat</v>
      </c>
      <c r="H336" t="str">
        <f t="shared" si="40"/>
        <v>Weekend</v>
      </c>
      <c r="I336" s="2">
        <v>0.37847222222222221</v>
      </c>
      <c r="J336" s="2">
        <f t="shared" si="41"/>
        <v>0.37847222222222221</v>
      </c>
      <c r="K336" t="s">
        <v>722</v>
      </c>
      <c r="L336" t="s">
        <v>87</v>
      </c>
      <c r="M336" t="s">
        <v>69</v>
      </c>
      <c r="N336" t="s">
        <v>46</v>
      </c>
      <c r="O336" t="s">
        <v>28</v>
      </c>
      <c r="P336">
        <v>2</v>
      </c>
      <c r="Q336">
        <v>119</v>
      </c>
      <c r="R336">
        <v>238</v>
      </c>
      <c r="S336">
        <v>10</v>
      </c>
      <c r="T336">
        <v>228</v>
      </c>
      <c r="U336" t="s">
        <v>42</v>
      </c>
      <c r="V336">
        <v>59</v>
      </c>
      <c r="W336" t="s">
        <v>23</v>
      </c>
      <c r="X336">
        <v>5</v>
      </c>
    </row>
    <row r="337" spans="1:24" x14ac:dyDescent="0.3">
      <c r="A337" t="s">
        <v>723</v>
      </c>
      <c r="B337" s="1">
        <v>45660</v>
      </c>
      <c r="C337">
        <f t="shared" si="37"/>
        <v>3</v>
      </c>
      <c r="D337">
        <f t="shared" si="38"/>
        <v>1</v>
      </c>
      <c r="E337">
        <f t="shared" si="39"/>
        <v>2025</v>
      </c>
      <c r="F337" t="str">
        <f t="shared" si="35"/>
        <v>Jan</v>
      </c>
      <c r="G337" t="str">
        <f t="shared" si="36"/>
        <v>Fri</v>
      </c>
      <c r="H337" t="str">
        <f t="shared" si="40"/>
        <v>Weekday</v>
      </c>
      <c r="I337" s="2">
        <v>0.4375</v>
      </c>
      <c r="J337" s="2">
        <f t="shared" si="41"/>
        <v>0.4375</v>
      </c>
      <c r="K337" t="s">
        <v>724</v>
      </c>
      <c r="L337" t="s">
        <v>49</v>
      </c>
      <c r="M337" t="s">
        <v>45</v>
      </c>
      <c r="N337" t="s">
        <v>46</v>
      </c>
      <c r="O337" t="s">
        <v>28</v>
      </c>
      <c r="P337">
        <v>4</v>
      </c>
      <c r="Q337">
        <v>111</v>
      </c>
      <c r="R337">
        <v>444</v>
      </c>
      <c r="S337">
        <v>5</v>
      </c>
      <c r="T337">
        <v>439</v>
      </c>
      <c r="U337" t="s">
        <v>64</v>
      </c>
      <c r="V337">
        <v>57</v>
      </c>
      <c r="W337" t="s">
        <v>23</v>
      </c>
      <c r="X337">
        <v>0</v>
      </c>
    </row>
    <row r="338" spans="1:24" x14ac:dyDescent="0.3">
      <c r="A338" t="s">
        <v>725</v>
      </c>
      <c r="B338" s="1">
        <v>45660</v>
      </c>
      <c r="C338">
        <f t="shared" si="37"/>
        <v>3</v>
      </c>
      <c r="D338">
        <f t="shared" si="38"/>
        <v>1</v>
      </c>
      <c r="E338">
        <f t="shared" si="39"/>
        <v>2025</v>
      </c>
      <c r="F338" t="str">
        <f t="shared" si="35"/>
        <v>Jan</v>
      </c>
      <c r="G338" t="str">
        <f t="shared" si="36"/>
        <v>Fri</v>
      </c>
      <c r="H338" t="str">
        <f t="shared" si="40"/>
        <v>Weekday</v>
      </c>
      <c r="I338" s="2">
        <v>0.76041666666666663</v>
      </c>
      <c r="J338" s="2">
        <f t="shared" si="41"/>
        <v>0.76041666666666663</v>
      </c>
      <c r="K338" t="s">
        <v>726</v>
      </c>
      <c r="L338" t="s">
        <v>31</v>
      </c>
      <c r="M338" t="s">
        <v>39</v>
      </c>
      <c r="N338" t="s">
        <v>40</v>
      </c>
      <c r="O338" t="s">
        <v>41</v>
      </c>
      <c r="P338">
        <v>5</v>
      </c>
      <c r="Q338">
        <v>48</v>
      </c>
      <c r="R338">
        <v>240</v>
      </c>
      <c r="S338">
        <v>0</v>
      </c>
      <c r="T338">
        <v>240</v>
      </c>
      <c r="U338" t="s">
        <v>64</v>
      </c>
      <c r="V338">
        <v>55</v>
      </c>
      <c r="W338" t="s">
        <v>35</v>
      </c>
      <c r="X338">
        <v>5</v>
      </c>
    </row>
    <row r="339" spans="1:24" x14ac:dyDescent="0.3">
      <c r="A339" t="s">
        <v>727</v>
      </c>
      <c r="B339" s="1">
        <v>45664</v>
      </c>
      <c r="C339">
        <f t="shared" si="37"/>
        <v>7</v>
      </c>
      <c r="D339">
        <f t="shared" si="38"/>
        <v>1</v>
      </c>
      <c r="E339">
        <f t="shared" si="39"/>
        <v>2025</v>
      </c>
      <c r="F339" t="str">
        <f t="shared" si="35"/>
        <v>Jan</v>
      </c>
      <c r="G339" t="str">
        <f t="shared" si="36"/>
        <v>Tue</v>
      </c>
      <c r="H339" t="str">
        <f t="shared" si="40"/>
        <v>Weekday</v>
      </c>
      <c r="I339" s="2">
        <v>0.37847222222222221</v>
      </c>
      <c r="J339" s="2">
        <f t="shared" si="41"/>
        <v>0.37847222222222221</v>
      </c>
      <c r="K339" t="s">
        <v>728</v>
      </c>
      <c r="L339" t="s">
        <v>90</v>
      </c>
      <c r="M339" t="s">
        <v>69</v>
      </c>
      <c r="N339" t="s">
        <v>40</v>
      </c>
      <c r="O339" t="s">
        <v>41</v>
      </c>
      <c r="P339">
        <v>5</v>
      </c>
      <c r="Q339">
        <v>24</v>
      </c>
      <c r="R339">
        <v>120</v>
      </c>
      <c r="S339">
        <v>10</v>
      </c>
      <c r="T339">
        <v>110</v>
      </c>
      <c r="U339" t="s">
        <v>22</v>
      </c>
      <c r="V339">
        <v>52</v>
      </c>
      <c r="W339" t="s">
        <v>23</v>
      </c>
      <c r="X339">
        <v>3</v>
      </c>
    </row>
    <row r="340" spans="1:24" x14ac:dyDescent="0.3">
      <c r="A340" t="s">
        <v>729</v>
      </c>
      <c r="B340" s="1">
        <v>45664</v>
      </c>
      <c r="C340">
        <f t="shared" si="37"/>
        <v>7</v>
      </c>
      <c r="D340">
        <f t="shared" si="38"/>
        <v>1</v>
      </c>
      <c r="E340">
        <f t="shared" si="39"/>
        <v>2025</v>
      </c>
      <c r="F340" t="str">
        <f t="shared" si="35"/>
        <v>Jan</v>
      </c>
      <c r="G340" t="str">
        <f t="shared" si="36"/>
        <v>Tue</v>
      </c>
      <c r="H340" t="str">
        <f t="shared" si="40"/>
        <v>Weekday</v>
      </c>
      <c r="I340" s="2">
        <v>0.37847222222222221</v>
      </c>
      <c r="J340" s="2">
        <f t="shared" si="41"/>
        <v>0.37847222222222221</v>
      </c>
      <c r="K340" t="s">
        <v>730</v>
      </c>
      <c r="L340" t="s">
        <v>31</v>
      </c>
      <c r="M340" t="s">
        <v>69</v>
      </c>
      <c r="N340" t="s">
        <v>55</v>
      </c>
      <c r="O340" t="s">
        <v>21</v>
      </c>
      <c r="P340">
        <v>6</v>
      </c>
      <c r="Q340">
        <v>20</v>
      </c>
      <c r="R340">
        <v>120</v>
      </c>
      <c r="S340">
        <v>5</v>
      </c>
      <c r="T340">
        <v>115</v>
      </c>
      <c r="U340" t="s">
        <v>64</v>
      </c>
      <c r="V340">
        <v>40</v>
      </c>
      <c r="W340" t="s">
        <v>35</v>
      </c>
      <c r="X340">
        <v>1</v>
      </c>
    </row>
    <row r="341" spans="1:24" x14ac:dyDescent="0.3">
      <c r="A341" t="s">
        <v>731</v>
      </c>
      <c r="B341" s="1">
        <v>45662</v>
      </c>
      <c r="C341">
        <f t="shared" si="37"/>
        <v>5</v>
      </c>
      <c r="D341">
        <f t="shared" si="38"/>
        <v>1</v>
      </c>
      <c r="E341">
        <f t="shared" si="39"/>
        <v>2025</v>
      </c>
      <c r="F341" t="str">
        <f t="shared" si="35"/>
        <v>Jan</v>
      </c>
      <c r="G341" t="str">
        <f t="shared" si="36"/>
        <v>Sun</v>
      </c>
      <c r="H341" t="str">
        <f t="shared" si="40"/>
        <v>Weekend</v>
      </c>
      <c r="I341" s="2">
        <v>0.76041666666666663</v>
      </c>
      <c r="J341" s="2">
        <f t="shared" si="41"/>
        <v>0.76041666666666663</v>
      </c>
      <c r="K341" t="s">
        <v>732</v>
      </c>
      <c r="L341" t="s">
        <v>49</v>
      </c>
      <c r="M341" t="s">
        <v>32</v>
      </c>
      <c r="N341" t="s">
        <v>55</v>
      </c>
      <c r="O341" t="s">
        <v>21</v>
      </c>
      <c r="P341">
        <v>6</v>
      </c>
      <c r="Q341">
        <v>103</v>
      </c>
      <c r="R341">
        <v>618</v>
      </c>
      <c r="S341">
        <v>10</v>
      </c>
      <c r="T341">
        <v>608</v>
      </c>
      <c r="U341" t="s">
        <v>34</v>
      </c>
      <c r="V341">
        <v>44</v>
      </c>
      <c r="W341" t="s">
        <v>35</v>
      </c>
      <c r="X341">
        <v>1</v>
      </c>
    </row>
    <row r="342" spans="1:24" x14ac:dyDescent="0.3">
      <c r="A342" t="s">
        <v>733</v>
      </c>
      <c r="B342" s="1">
        <v>45667</v>
      </c>
      <c r="C342">
        <f t="shared" si="37"/>
        <v>10</v>
      </c>
      <c r="D342">
        <f t="shared" si="38"/>
        <v>1</v>
      </c>
      <c r="E342">
        <f t="shared" si="39"/>
        <v>2025</v>
      </c>
      <c r="F342" t="str">
        <f t="shared" si="35"/>
        <v>Jan</v>
      </c>
      <c r="G342" t="str">
        <f t="shared" si="36"/>
        <v>Fri</v>
      </c>
      <c r="H342" t="str">
        <f t="shared" si="40"/>
        <v>Weekday</v>
      </c>
      <c r="I342" s="2">
        <v>0.78125</v>
      </c>
      <c r="J342" s="2">
        <f t="shared" si="41"/>
        <v>0.78125</v>
      </c>
      <c r="K342" t="s">
        <v>734</v>
      </c>
      <c r="L342" t="s">
        <v>58</v>
      </c>
      <c r="M342" t="s">
        <v>69</v>
      </c>
      <c r="N342" t="s">
        <v>27</v>
      </c>
      <c r="O342" t="s">
        <v>28</v>
      </c>
      <c r="P342">
        <v>5</v>
      </c>
      <c r="Q342">
        <v>89</v>
      </c>
      <c r="R342">
        <v>445</v>
      </c>
      <c r="S342">
        <v>10</v>
      </c>
      <c r="T342">
        <v>435</v>
      </c>
      <c r="U342" t="s">
        <v>64</v>
      </c>
      <c r="V342">
        <v>29</v>
      </c>
      <c r="W342" t="s">
        <v>23</v>
      </c>
      <c r="X342">
        <v>0</v>
      </c>
    </row>
    <row r="343" spans="1:24" x14ac:dyDescent="0.3">
      <c r="A343" t="s">
        <v>735</v>
      </c>
      <c r="B343" s="1">
        <v>45668</v>
      </c>
      <c r="C343">
        <f t="shared" si="37"/>
        <v>11</v>
      </c>
      <c r="D343">
        <f t="shared" si="38"/>
        <v>1</v>
      </c>
      <c r="E343">
        <f t="shared" si="39"/>
        <v>2025</v>
      </c>
      <c r="F343" t="str">
        <f t="shared" si="35"/>
        <v>Jan</v>
      </c>
      <c r="G343" t="str">
        <f t="shared" si="36"/>
        <v>Sat</v>
      </c>
      <c r="H343" t="str">
        <f t="shared" si="40"/>
        <v>Weekend</v>
      </c>
      <c r="I343" s="2">
        <v>0.76041666666666663</v>
      </c>
      <c r="J343" s="2">
        <f t="shared" si="41"/>
        <v>0.76041666666666663</v>
      </c>
      <c r="K343" t="s">
        <v>736</v>
      </c>
      <c r="L343" t="s">
        <v>31</v>
      </c>
      <c r="M343" t="s">
        <v>39</v>
      </c>
      <c r="N343" t="s">
        <v>79</v>
      </c>
      <c r="O343" t="s">
        <v>80</v>
      </c>
      <c r="P343">
        <v>3</v>
      </c>
      <c r="Q343">
        <v>44</v>
      </c>
      <c r="R343">
        <v>132</v>
      </c>
      <c r="S343">
        <v>10</v>
      </c>
      <c r="T343">
        <v>122</v>
      </c>
      <c r="U343" t="s">
        <v>22</v>
      </c>
      <c r="V343">
        <v>37</v>
      </c>
      <c r="W343" t="s">
        <v>23</v>
      </c>
      <c r="X343">
        <v>3</v>
      </c>
    </row>
    <row r="344" spans="1:24" x14ac:dyDescent="0.3">
      <c r="A344" t="s">
        <v>737</v>
      </c>
      <c r="B344" s="1">
        <v>45662</v>
      </c>
      <c r="C344">
        <f t="shared" si="37"/>
        <v>5</v>
      </c>
      <c r="D344">
        <f t="shared" si="38"/>
        <v>1</v>
      </c>
      <c r="E344">
        <f t="shared" si="39"/>
        <v>2025</v>
      </c>
      <c r="F344" t="str">
        <f t="shared" si="35"/>
        <v>Jan</v>
      </c>
      <c r="G344" t="str">
        <f t="shared" si="36"/>
        <v>Sun</v>
      </c>
      <c r="H344" t="str">
        <f t="shared" si="40"/>
        <v>Weekend</v>
      </c>
      <c r="I344" s="2">
        <v>0.76041666666666663</v>
      </c>
      <c r="J344" s="2">
        <f t="shared" si="41"/>
        <v>0.76041666666666663</v>
      </c>
      <c r="K344" t="s">
        <v>738</v>
      </c>
      <c r="L344" t="s">
        <v>90</v>
      </c>
      <c r="M344" t="s">
        <v>26</v>
      </c>
      <c r="N344" t="s">
        <v>93</v>
      </c>
      <c r="O344" t="s">
        <v>94</v>
      </c>
      <c r="P344">
        <v>1</v>
      </c>
      <c r="Q344">
        <v>21</v>
      </c>
      <c r="R344">
        <v>21</v>
      </c>
      <c r="S344">
        <v>0</v>
      </c>
      <c r="T344">
        <v>21</v>
      </c>
      <c r="U344" t="s">
        <v>42</v>
      </c>
      <c r="V344">
        <v>11</v>
      </c>
      <c r="W344" t="s">
        <v>23</v>
      </c>
      <c r="X344">
        <v>1</v>
      </c>
    </row>
    <row r="345" spans="1:24" x14ac:dyDescent="0.3">
      <c r="A345" t="s">
        <v>739</v>
      </c>
      <c r="B345" s="1">
        <v>45660</v>
      </c>
      <c r="C345">
        <f t="shared" si="37"/>
        <v>3</v>
      </c>
      <c r="D345">
        <f t="shared" si="38"/>
        <v>1</v>
      </c>
      <c r="E345">
        <f t="shared" si="39"/>
        <v>2025</v>
      </c>
      <c r="F345" t="str">
        <f t="shared" si="35"/>
        <v>Jan</v>
      </c>
      <c r="G345" t="str">
        <f t="shared" si="36"/>
        <v>Fri</v>
      </c>
      <c r="H345" t="str">
        <f t="shared" si="40"/>
        <v>Weekday</v>
      </c>
      <c r="I345" s="2">
        <v>0.78125</v>
      </c>
      <c r="J345" s="2">
        <f t="shared" si="41"/>
        <v>0.78125</v>
      </c>
      <c r="K345" t="s">
        <v>740</v>
      </c>
      <c r="L345" t="s">
        <v>87</v>
      </c>
      <c r="M345" t="s">
        <v>19</v>
      </c>
      <c r="N345" t="s">
        <v>46</v>
      </c>
      <c r="O345" t="s">
        <v>28</v>
      </c>
      <c r="P345">
        <v>5</v>
      </c>
      <c r="Q345">
        <v>56</v>
      </c>
      <c r="R345">
        <v>280</v>
      </c>
      <c r="S345">
        <v>5</v>
      </c>
      <c r="T345">
        <v>275</v>
      </c>
      <c r="U345" t="s">
        <v>22</v>
      </c>
      <c r="V345">
        <v>34</v>
      </c>
      <c r="W345" t="s">
        <v>35</v>
      </c>
      <c r="X345">
        <v>3</v>
      </c>
    </row>
    <row r="346" spans="1:24" x14ac:dyDescent="0.3">
      <c r="A346" t="s">
        <v>741</v>
      </c>
      <c r="B346" s="1">
        <v>45665</v>
      </c>
      <c r="C346">
        <f t="shared" si="37"/>
        <v>8</v>
      </c>
      <c r="D346">
        <f t="shared" si="38"/>
        <v>1</v>
      </c>
      <c r="E346">
        <f t="shared" si="39"/>
        <v>2025</v>
      </c>
      <c r="F346" t="str">
        <f t="shared" si="35"/>
        <v>Jan</v>
      </c>
      <c r="G346" t="str">
        <f t="shared" si="36"/>
        <v>Wed</v>
      </c>
      <c r="H346" t="str">
        <f t="shared" si="40"/>
        <v>Weekday</v>
      </c>
      <c r="I346" s="2">
        <v>0.78125</v>
      </c>
      <c r="J346" s="2">
        <f t="shared" si="41"/>
        <v>0.78125</v>
      </c>
      <c r="K346" t="s">
        <v>742</v>
      </c>
      <c r="L346" t="s">
        <v>38</v>
      </c>
      <c r="M346" t="s">
        <v>78</v>
      </c>
      <c r="N346" t="s">
        <v>40</v>
      </c>
      <c r="O346" t="s">
        <v>1060</v>
      </c>
      <c r="P346">
        <v>6</v>
      </c>
      <c r="Q346">
        <v>43</v>
      </c>
      <c r="R346">
        <v>258</v>
      </c>
      <c r="S346">
        <v>0</v>
      </c>
      <c r="T346">
        <v>258</v>
      </c>
      <c r="U346" t="s">
        <v>22</v>
      </c>
      <c r="V346">
        <v>33</v>
      </c>
      <c r="W346" t="s">
        <v>35</v>
      </c>
      <c r="X346">
        <v>2</v>
      </c>
    </row>
    <row r="347" spans="1:24" x14ac:dyDescent="0.3">
      <c r="A347" t="s">
        <v>743</v>
      </c>
      <c r="B347" s="1">
        <v>45663</v>
      </c>
      <c r="C347">
        <f t="shared" si="37"/>
        <v>6</v>
      </c>
      <c r="D347">
        <f t="shared" si="38"/>
        <v>1</v>
      </c>
      <c r="E347">
        <f t="shared" si="39"/>
        <v>2025</v>
      </c>
      <c r="F347" t="str">
        <f t="shared" si="35"/>
        <v>Jan</v>
      </c>
      <c r="G347" t="str">
        <f t="shared" si="36"/>
        <v>Mon</v>
      </c>
      <c r="H347" t="str">
        <f t="shared" si="40"/>
        <v>Weekday</v>
      </c>
      <c r="I347" s="2">
        <v>0.76041666666666663</v>
      </c>
      <c r="J347" s="2">
        <f t="shared" si="41"/>
        <v>0.76041666666666663</v>
      </c>
      <c r="K347" t="s">
        <v>744</v>
      </c>
      <c r="L347" t="s">
        <v>31</v>
      </c>
      <c r="M347" t="s">
        <v>69</v>
      </c>
      <c r="N347" t="s">
        <v>93</v>
      </c>
      <c r="O347" t="s">
        <v>94</v>
      </c>
      <c r="P347">
        <v>3</v>
      </c>
      <c r="Q347">
        <v>80</v>
      </c>
      <c r="R347">
        <v>240</v>
      </c>
      <c r="S347">
        <v>5</v>
      </c>
      <c r="T347">
        <v>235</v>
      </c>
      <c r="U347" t="s">
        <v>42</v>
      </c>
      <c r="V347">
        <v>34</v>
      </c>
      <c r="W347" t="s">
        <v>23</v>
      </c>
      <c r="X347">
        <v>0</v>
      </c>
    </row>
    <row r="348" spans="1:24" x14ac:dyDescent="0.3">
      <c r="A348" t="s">
        <v>745</v>
      </c>
      <c r="B348" s="1">
        <v>45660</v>
      </c>
      <c r="C348">
        <f t="shared" si="37"/>
        <v>3</v>
      </c>
      <c r="D348">
        <f t="shared" si="38"/>
        <v>1</v>
      </c>
      <c r="E348">
        <f t="shared" si="39"/>
        <v>2025</v>
      </c>
      <c r="F348" t="str">
        <f t="shared" si="35"/>
        <v>Jan</v>
      </c>
      <c r="G348" t="str">
        <f t="shared" si="36"/>
        <v>Fri</v>
      </c>
      <c r="H348" t="str">
        <f t="shared" si="40"/>
        <v>Weekday</v>
      </c>
      <c r="I348" s="2">
        <v>0.37847222222222221</v>
      </c>
      <c r="J348" s="2">
        <f t="shared" si="41"/>
        <v>0.37847222222222221</v>
      </c>
      <c r="K348" t="s">
        <v>746</v>
      </c>
      <c r="L348" t="s">
        <v>90</v>
      </c>
      <c r="M348" t="s">
        <v>39</v>
      </c>
      <c r="N348" t="s">
        <v>33</v>
      </c>
      <c r="O348" t="s">
        <v>21</v>
      </c>
      <c r="P348">
        <v>2</v>
      </c>
      <c r="Q348">
        <v>117</v>
      </c>
      <c r="R348">
        <v>234</v>
      </c>
      <c r="S348">
        <v>0</v>
      </c>
      <c r="T348">
        <v>234</v>
      </c>
      <c r="U348" t="s">
        <v>22</v>
      </c>
      <c r="V348">
        <v>10</v>
      </c>
      <c r="W348" t="s">
        <v>35</v>
      </c>
      <c r="X348">
        <v>5</v>
      </c>
    </row>
    <row r="349" spans="1:24" x14ac:dyDescent="0.3">
      <c r="A349" t="s">
        <v>747</v>
      </c>
      <c r="B349" s="1">
        <v>45663</v>
      </c>
      <c r="C349">
        <f t="shared" si="37"/>
        <v>6</v>
      </c>
      <c r="D349">
        <f t="shared" si="38"/>
        <v>1</v>
      </c>
      <c r="E349">
        <f t="shared" si="39"/>
        <v>2025</v>
      </c>
      <c r="F349" t="str">
        <f t="shared" si="35"/>
        <v>Jan</v>
      </c>
      <c r="G349" t="str">
        <f t="shared" si="36"/>
        <v>Mon</v>
      </c>
      <c r="H349" t="str">
        <f t="shared" si="40"/>
        <v>Weekday</v>
      </c>
      <c r="I349" s="2">
        <v>0.78125</v>
      </c>
      <c r="J349" s="2">
        <f t="shared" si="41"/>
        <v>0.78125</v>
      </c>
      <c r="K349" t="s">
        <v>748</v>
      </c>
      <c r="L349" t="s">
        <v>52</v>
      </c>
      <c r="M349" t="s">
        <v>78</v>
      </c>
      <c r="N349" t="s">
        <v>46</v>
      </c>
      <c r="O349" t="s">
        <v>28</v>
      </c>
      <c r="P349">
        <v>3</v>
      </c>
      <c r="Q349">
        <v>58</v>
      </c>
      <c r="R349">
        <v>174</v>
      </c>
      <c r="S349">
        <v>0</v>
      </c>
      <c r="T349">
        <v>174</v>
      </c>
      <c r="U349" t="s">
        <v>22</v>
      </c>
      <c r="V349">
        <v>35</v>
      </c>
      <c r="W349" t="s">
        <v>23</v>
      </c>
      <c r="X349">
        <v>2</v>
      </c>
    </row>
    <row r="350" spans="1:24" x14ac:dyDescent="0.3">
      <c r="A350" t="s">
        <v>749</v>
      </c>
      <c r="B350" s="1">
        <v>45667</v>
      </c>
      <c r="C350">
        <f t="shared" si="37"/>
        <v>10</v>
      </c>
      <c r="D350">
        <f t="shared" si="38"/>
        <v>1</v>
      </c>
      <c r="E350">
        <f t="shared" si="39"/>
        <v>2025</v>
      </c>
      <c r="F350" t="str">
        <f t="shared" si="35"/>
        <v>Jan</v>
      </c>
      <c r="G350" t="str">
        <f t="shared" si="36"/>
        <v>Fri</v>
      </c>
      <c r="H350" t="str">
        <f t="shared" si="40"/>
        <v>Weekday</v>
      </c>
      <c r="I350" s="2">
        <v>0.76041666666666663</v>
      </c>
      <c r="J350" s="2">
        <f t="shared" si="41"/>
        <v>0.76041666666666663</v>
      </c>
      <c r="K350" t="s">
        <v>750</v>
      </c>
      <c r="L350" t="s">
        <v>90</v>
      </c>
      <c r="M350" t="s">
        <v>32</v>
      </c>
      <c r="N350" t="s">
        <v>27</v>
      </c>
      <c r="O350" t="s">
        <v>28</v>
      </c>
      <c r="P350">
        <v>3</v>
      </c>
      <c r="Q350">
        <v>89</v>
      </c>
      <c r="R350">
        <v>267</v>
      </c>
      <c r="S350">
        <v>5</v>
      </c>
      <c r="T350">
        <v>262</v>
      </c>
      <c r="U350" t="s">
        <v>42</v>
      </c>
      <c r="V350">
        <v>55</v>
      </c>
      <c r="W350" t="s">
        <v>23</v>
      </c>
      <c r="X350">
        <v>5</v>
      </c>
    </row>
    <row r="351" spans="1:24" x14ac:dyDescent="0.3">
      <c r="A351" t="s">
        <v>751</v>
      </c>
      <c r="B351" s="1">
        <v>45666</v>
      </c>
      <c r="C351">
        <f t="shared" si="37"/>
        <v>9</v>
      </c>
      <c r="D351">
        <f t="shared" si="38"/>
        <v>1</v>
      </c>
      <c r="E351">
        <f t="shared" si="39"/>
        <v>2025</v>
      </c>
      <c r="F351" t="str">
        <f t="shared" si="35"/>
        <v>Jan</v>
      </c>
      <c r="G351" t="str">
        <f t="shared" si="36"/>
        <v>Thu</v>
      </c>
      <c r="H351" t="str">
        <f t="shared" si="40"/>
        <v>Weekday</v>
      </c>
      <c r="I351" s="2">
        <v>0.76041666666666663</v>
      </c>
      <c r="J351" s="2">
        <f t="shared" si="41"/>
        <v>0.76041666666666663</v>
      </c>
      <c r="K351" t="s">
        <v>752</v>
      </c>
      <c r="L351" t="s">
        <v>49</v>
      </c>
      <c r="M351" t="s">
        <v>59</v>
      </c>
      <c r="N351" t="s">
        <v>40</v>
      </c>
      <c r="O351" t="s">
        <v>41</v>
      </c>
      <c r="P351">
        <v>4</v>
      </c>
      <c r="Q351">
        <v>113</v>
      </c>
      <c r="R351">
        <v>452</v>
      </c>
      <c r="S351">
        <v>10</v>
      </c>
      <c r="T351">
        <v>442</v>
      </c>
      <c r="U351" t="s">
        <v>64</v>
      </c>
      <c r="V351">
        <v>51</v>
      </c>
      <c r="W351" t="s">
        <v>35</v>
      </c>
      <c r="X351">
        <v>4</v>
      </c>
    </row>
    <row r="352" spans="1:24" x14ac:dyDescent="0.3">
      <c r="A352" t="s">
        <v>753</v>
      </c>
      <c r="B352" s="1">
        <v>45666</v>
      </c>
      <c r="C352">
        <f t="shared" si="37"/>
        <v>9</v>
      </c>
      <c r="D352">
        <f t="shared" si="38"/>
        <v>1</v>
      </c>
      <c r="E352">
        <f t="shared" si="39"/>
        <v>2025</v>
      </c>
      <c r="F352" t="str">
        <f t="shared" si="35"/>
        <v>Jan</v>
      </c>
      <c r="G352" t="str">
        <f t="shared" si="36"/>
        <v>Thu</v>
      </c>
      <c r="H352" t="str">
        <f t="shared" si="40"/>
        <v>Weekday</v>
      </c>
      <c r="I352" s="2">
        <v>0.4375</v>
      </c>
      <c r="J352" s="2">
        <f t="shared" si="41"/>
        <v>0.4375</v>
      </c>
      <c r="K352" t="s">
        <v>754</v>
      </c>
      <c r="L352" t="s">
        <v>52</v>
      </c>
      <c r="M352" t="s">
        <v>19</v>
      </c>
      <c r="N352" t="s">
        <v>20</v>
      </c>
      <c r="O352" t="s">
        <v>21</v>
      </c>
      <c r="P352">
        <v>2</v>
      </c>
      <c r="Q352">
        <v>107</v>
      </c>
      <c r="R352">
        <v>224</v>
      </c>
      <c r="S352">
        <v>5</v>
      </c>
      <c r="T352">
        <v>209</v>
      </c>
      <c r="U352" t="s">
        <v>42</v>
      </c>
      <c r="V352">
        <v>44</v>
      </c>
      <c r="W352" t="s">
        <v>23</v>
      </c>
      <c r="X352">
        <v>2</v>
      </c>
    </row>
    <row r="353" spans="1:24" x14ac:dyDescent="0.3">
      <c r="A353" t="s">
        <v>755</v>
      </c>
      <c r="B353" s="1">
        <v>45659</v>
      </c>
      <c r="C353">
        <f t="shared" si="37"/>
        <v>2</v>
      </c>
      <c r="D353">
        <f t="shared" si="38"/>
        <v>1</v>
      </c>
      <c r="E353">
        <f t="shared" si="39"/>
        <v>2025</v>
      </c>
      <c r="F353" t="str">
        <f t="shared" si="35"/>
        <v>Jan</v>
      </c>
      <c r="G353" t="str">
        <f t="shared" si="36"/>
        <v>Thu</v>
      </c>
      <c r="H353" t="str">
        <f t="shared" si="40"/>
        <v>Weekday</v>
      </c>
      <c r="I353" s="2">
        <v>0.37847222222222221</v>
      </c>
      <c r="J353" s="2">
        <f t="shared" si="41"/>
        <v>0.37847222222222221</v>
      </c>
      <c r="K353" t="s">
        <v>756</v>
      </c>
      <c r="L353" t="s">
        <v>31</v>
      </c>
      <c r="M353" t="s">
        <v>69</v>
      </c>
      <c r="N353" t="s">
        <v>27</v>
      </c>
      <c r="O353" t="s">
        <v>28</v>
      </c>
      <c r="P353">
        <v>1</v>
      </c>
      <c r="Q353">
        <v>86</v>
      </c>
      <c r="R353">
        <v>86</v>
      </c>
      <c r="S353">
        <v>0</v>
      </c>
      <c r="T353">
        <v>86</v>
      </c>
      <c r="U353" t="s">
        <v>42</v>
      </c>
      <c r="V353">
        <v>14</v>
      </c>
      <c r="W353" t="s">
        <v>23</v>
      </c>
      <c r="X353">
        <v>4</v>
      </c>
    </row>
    <row r="354" spans="1:24" x14ac:dyDescent="0.3">
      <c r="A354" t="s">
        <v>757</v>
      </c>
      <c r="B354" s="1">
        <v>45668</v>
      </c>
      <c r="C354">
        <f t="shared" si="37"/>
        <v>11</v>
      </c>
      <c r="D354">
        <f t="shared" si="38"/>
        <v>1</v>
      </c>
      <c r="E354">
        <f t="shared" si="39"/>
        <v>2025</v>
      </c>
      <c r="F354" t="str">
        <f t="shared" si="35"/>
        <v>Jan</v>
      </c>
      <c r="G354" t="str">
        <f t="shared" si="36"/>
        <v>Sat</v>
      </c>
      <c r="H354" t="str">
        <f t="shared" si="40"/>
        <v>Weekend</v>
      </c>
      <c r="I354" s="2">
        <v>0.78125</v>
      </c>
      <c r="J354" s="2">
        <f t="shared" si="41"/>
        <v>0.78125</v>
      </c>
      <c r="K354" t="s">
        <v>758</v>
      </c>
      <c r="L354" t="s">
        <v>49</v>
      </c>
      <c r="M354" t="s">
        <v>69</v>
      </c>
      <c r="N354" t="s">
        <v>55</v>
      </c>
      <c r="O354" t="s">
        <v>21</v>
      </c>
      <c r="P354">
        <v>5</v>
      </c>
      <c r="Q354">
        <v>37</v>
      </c>
      <c r="R354">
        <v>185</v>
      </c>
      <c r="S354">
        <v>0</v>
      </c>
      <c r="T354">
        <v>185</v>
      </c>
      <c r="U354" t="s">
        <v>64</v>
      </c>
      <c r="V354">
        <v>21</v>
      </c>
      <c r="W354" t="s">
        <v>35</v>
      </c>
      <c r="X354">
        <v>2</v>
      </c>
    </row>
    <row r="355" spans="1:24" x14ac:dyDescent="0.3">
      <c r="A355" t="s">
        <v>759</v>
      </c>
      <c r="B355" s="1">
        <v>45663</v>
      </c>
      <c r="C355">
        <f t="shared" si="37"/>
        <v>6</v>
      </c>
      <c r="D355">
        <f t="shared" si="38"/>
        <v>1</v>
      </c>
      <c r="E355">
        <f t="shared" si="39"/>
        <v>2025</v>
      </c>
      <c r="F355" t="str">
        <f t="shared" si="35"/>
        <v>Jan</v>
      </c>
      <c r="G355" t="str">
        <f t="shared" si="36"/>
        <v>Mon</v>
      </c>
      <c r="H355" t="str">
        <f t="shared" si="40"/>
        <v>Weekday</v>
      </c>
      <c r="I355" s="2">
        <v>0.4375</v>
      </c>
      <c r="J355" s="2">
        <f t="shared" si="41"/>
        <v>0.4375</v>
      </c>
      <c r="K355" t="s">
        <v>760</v>
      </c>
      <c r="L355" t="s">
        <v>90</v>
      </c>
      <c r="M355" t="s">
        <v>32</v>
      </c>
      <c r="N355" t="s">
        <v>40</v>
      </c>
      <c r="O355" t="s">
        <v>41</v>
      </c>
      <c r="P355">
        <v>2</v>
      </c>
      <c r="Q355">
        <v>28</v>
      </c>
      <c r="R355">
        <v>56</v>
      </c>
      <c r="S355">
        <v>0</v>
      </c>
      <c r="T355">
        <v>56</v>
      </c>
      <c r="U355" t="s">
        <v>42</v>
      </c>
      <c r="V355">
        <v>47</v>
      </c>
      <c r="W355" t="s">
        <v>23</v>
      </c>
      <c r="X355">
        <v>2</v>
      </c>
    </row>
    <row r="356" spans="1:24" x14ac:dyDescent="0.3">
      <c r="A356" t="s">
        <v>761</v>
      </c>
      <c r="B356" s="1">
        <v>45661</v>
      </c>
      <c r="C356">
        <f t="shared" si="37"/>
        <v>4</v>
      </c>
      <c r="D356">
        <f t="shared" si="38"/>
        <v>1</v>
      </c>
      <c r="E356">
        <f t="shared" si="39"/>
        <v>2025</v>
      </c>
      <c r="F356" t="str">
        <f t="shared" si="35"/>
        <v>Jan</v>
      </c>
      <c r="G356" t="str">
        <f t="shared" si="36"/>
        <v>Sat</v>
      </c>
      <c r="H356" t="str">
        <f t="shared" si="40"/>
        <v>Weekend</v>
      </c>
      <c r="I356" s="2">
        <v>0.4375</v>
      </c>
      <c r="J356" s="2">
        <f t="shared" si="41"/>
        <v>0.4375</v>
      </c>
      <c r="K356" t="s">
        <v>762</v>
      </c>
      <c r="L356" t="s">
        <v>52</v>
      </c>
      <c r="M356" t="s">
        <v>32</v>
      </c>
      <c r="N356" t="s">
        <v>46</v>
      </c>
      <c r="O356" t="s">
        <v>28</v>
      </c>
      <c r="P356">
        <v>6</v>
      </c>
      <c r="Q356">
        <v>35</v>
      </c>
      <c r="R356">
        <v>210</v>
      </c>
      <c r="S356">
        <v>5</v>
      </c>
      <c r="T356">
        <v>205</v>
      </c>
      <c r="U356" t="s">
        <v>64</v>
      </c>
      <c r="V356">
        <v>21</v>
      </c>
      <c r="W356" t="s">
        <v>35</v>
      </c>
      <c r="X356">
        <v>0</v>
      </c>
    </row>
    <row r="357" spans="1:24" x14ac:dyDescent="0.3">
      <c r="A357" t="s">
        <v>763</v>
      </c>
      <c r="B357" s="1">
        <v>45667</v>
      </c>
      <c r="C357">
        <f t="shared" si="37"/>
        <v>10</v>
      </c>
      <c r="D357">
        <f t="shared" si="38"/>
        <v>1</v>
      </c>
      <c r="E357">
        <f t="shared" si="39"/>
        <v>2025</v>
      </c>
      <c r="F357" t="str">
        <f t="shared" si="35"/>
        <v>Jan</v>
      </c>
      <c r="G357" t="str">
        <f t="shared" si="36"/>
        <v>Fri</v>
      </c>
      <c r="H357" t="str">
        <f t="shared" si="40"/>
        <v>Weekday</v>
      </c>
      <c r="I357" s="2">
        <v>0.4375</v>
      </c>
      <c r="J357" s="2">
        <f t="shared" si="41"/>
        <v>0.4375</v>
      </c>
      <c r="K357" t="s">
        <v>764</v>
      </c>
      <c r="L357" t="s">
        <v>87</v>
      </c>
      <c r="M357" t="s">
        <v>19</v>
      </c>
      <c r="N357" t="s">
        <v>40</v>
      </c>
      <c r="O357" t="s">
        <v>41</v>
      </c>
      <c r="P357">
        <v>6</v>
      </c>
      <c r="Q357">
        <v>14</v>
      </c>
      <c r="R357">
        <v>84</v>
      </c>
      <c r="S357">
        <v>0</v>
      </c>
      <c r="T357">
        <v>84</v>
      </c>
      <c r="U357" t="s">
        <v>22</v>
      </c>
      <c r="V357">
        <v>39</v>
      </c>
      <c r="W357" t="s">
        <v>23</v>
      </c>
      <c r="X357">
        <v>0</v>
      </c>
    </row>
    <row r="358" spans="1:24" x14ac:dyDescent="0.3">
      <c r="A358" t="s">
        <v>765</v>
      </c>
      <c r="B358" s="1">
        <v>45660</v>
      </c>
      <c r="C358">
        <f t="shared" si="37"/>
        <v>3</v>
      </c>
      <c r="D358">
        <f t="shared" si="38"/>
        <v>1</v>
      </c>
      <c r="E358">
        <f t="shared" si="39"/>
        <v>2025</v>
      </c>
      <c r="F358" t="str">
        <f t="shared" si="35"/>
        <v>Jan</v>
      </c>
      <c r="G358" t="str">
        <f t="shared" si="36"/>
        <v>Fri</v>
      </c>
      <c r="H358" t="str">
        <f t="shared" si="40"/>
        <v>Weekday</v>
      </c>
      <c r="I358" s="2">
        <v>0.4375</v>
      </c>
      <c r="J358" s="2">
        <f t="shared" si="41"/>
        <v>0.4375</v>
      </c>
      <c r="K358" t="s">
        <v>766</v>
      </c>
      <c r="L358" t="s">
        <v>90</v>
      </c>
      <c r="M358" t="s">
        <v>69</v>
      </c>
      <c r="N358" t="s">
        <v>105</v>
      </c>
      <c r="O358" t="s">
        <v>106</v>
      </c>
      <c r="P358">
        <v>2</v>
      </c>
      <c r="Q358">
        <v>120</v>
      </c>
      <c r="R358">
        <v>240</v>
      </c>
      <c r="S358">
        <v>10</v>
      </c>
      <c r="T358">
        <v>230</v>
      </c>
      <c r="U358" t="s">
        <v>64</v>
      </c>
      <c r="V358">
        <v>27</v>
      </c>
      <c r="W358" t="s">
        <v>23</v>
      </c>
      <c r="X358">
        <v>0</v>
      </c>
    </row>
    <row r="359" spans="1:24" x14ac:dyDescent="0.3">
      <c r="A359" t="s">
        <v>767</v>
      </c>
      <c r="B359" s="1">
        <v>45668</v>
      </c>
      <c r="C359">
        <f t="shared" si="37"/>
        <v>11</v>
      </c>
      <c r="D359">
        <f t="shared" si="38"/>
        <v>1</v>
      </c>
      <c r="E359">
        <f t="shared" si="39"/>
        <v>2025</v>
      </c>
      <c r="F359" t="str">
        <f t="shared" si="35"/>
        <v>Jan</v>
      </c>
      <c r="G359" t="str">
        <f t="shared" si="36"/>
        <v>Sat</v>
      </c>
      <c r="H359" t="str">
        <f t="shared" si="40"/>
        <v>Weekend</v>
      </c>
      <c r="I359" s="2">
        <v>0.37847222222222221</v>
      </c>
      <c r="J359" s="2">
        <f t="shared" si="41"/>
        <v>0.37847222222222221</v>
      </c>
      <c r="K359" t="s">
        <v>768</v>
      </c>
      <c r="L359" t="s">
        <v>52</v>
      </c>
      <c r="M359" t="s">
        <v>26</v>
      </c>
      <c r="N359" t="s">
        <v>93</v>
      </c>
      <c r="O359" t="s">
        <v>94</v>
      </c>
      <c r="P359">
        <v>1</v>
      </c>
      <c r="Q359">
        <v>58</v>
      </c>
      <c r="R359">
        <v>58</v>
      </c>
      <c r="S359">
        <v>0</v>
      </c>
      <c r="T359">
        <v>58</v>
      </c>
      <c r="U359" t="s">
        <v>22</v>
      </c>
      <c r="V359">
        <v>50</v>
      </c>
      <c r="W359" t="s">
        <v>35</v>
      </c>
      <c r="X359">
        <v>1</v>
      </c>
    </row>
    <row r="360" spans="1:24" x14ac:dyDescent="0.3">
      <c r="A360" t="s">
        <v>769</v>
      </c>
      <c r="B360" s="1">
        <v>45668</v>
      </c>
      <c r="C360">
        <f t="shared" si="37"/>
        <v>11</v>
      </c>
      <c r="D360">
        <f t="shared" si="38"/>
        <v>1</v>
      </c>
      <c r="E360">
        <f t="shared" si="39"/>
        <v>2025</v>
      </c>
      <c r="F360" t="str">
        <f t="shared" si="35"/>
        <v>Jan</v>
      </c>
      <c r="G360" t="str">
        <f t="shared" si="36"/>
        <v>Sat</v>
      </c>
      <c r="H360" t="str">
        <f t="shared" si="40"/>
        <v>Weekend</v>
      </c>
      <c r="I360" s="2">
        <v>0.4375</v>
      </c>
      <c r="J360" s="2">
        <f t="shared" si="41"/>
        <v>0.4375</v>
      </c>
      <c r="K360" t="s">
        <v>770</v>
      </c>
      <c r="L360" t="s">
        <v>38</v>
      </c>
      <c r="M360" t="s">
        <v>32</v>
      </c>
      <c r="N360" t="s">
        <v>55</v>
      </c>
      <c r="O360" t="s">
        <v>21</v>
      </c>
      <c r="P360">
        <v>2</v>
      </c>
      <c r="Q360">
        <v>103</v>
      </c>
      <c r="R360">
        <v>206</v>
      </c>
      <c r="S360">
        <v>10</v>
      </c>
      <c r="T360">
        <v>196</v>
      </c>
      <c r="U360" t="s">
        <v>42</v>
      </c>
      <c r="V360">
        <v>44</v>
      </c>
      <c r="W360" t="s">
        <v>35</v>
      </c>
      <c r="X360">
        <v>4</v>
      </c>
    </row>
    <row r="361" spans="1:24" x14ac:dyDescent="0.3">
      <c r="A361" t="s">
        <v>771</v>
      </c>
      <c r="B361" s="1">
        <v>45663</v>
      </c>
      <c r="C361">
        <f t="shared" si="37"/>
        <v>6</v>
      </c>
      <c r="D361">
        <f t="shared" si="38"/>
        <v>1</v>
      </c>
      <c r="E361">
        <f t="shared" si="39"/>
        <v>2025</v>
      </c>
      <c r="F361" t="str">
        <f t="shared" si="35"/>
        <v>Jan</v>
      </c>
      <c r="G361" t="str">
        <f t="shared" si="36"/>
        <v>Mon</v>
      </c>
      <c r="H361" t="str">
        <f t="shared" si="40"/>
        <v>Weekday</v>
      </c>
      <c r="I361" s="2">
        <v>0.4375</v>
      </c>
      <c r="J361" s="2">
        <f t="shared" si="41"/>
        <v>0.4375</v>
      </c>
      <c r="K361" t="s">
        <v>772</v>
      </c>
      <c r="L361" t="s">
        <v>87</v>
      </c>
      <c r="M361" t="s">
        <v>78</v>
      </c>
      <c r="N361" t="s">
        <v>46</v>
      </c>
      <c r="O361" t="s">
        <v>28</v>
      </c>
      <c r="P361">
        <v>4</v>
      </c>
      <c r="Q361">
        <v>101</v>
      </c>
      <c r="R361">
        <v>404</v>
      </c>
      <c r="S361">
        <v>0</v>
      </c>
      <c r="T361">
        <v>404</v>
      </c>
      <c r="U361" t="s">
        <v>34</v>
      </c>
      <c r="V361">
        <v>39</v>
      </c>
      <c r="W361" t="s">
        <v>35</v>
      </c>
      <c r="X361">
        <v>4</v>
      </c>
    </row>
    <row r="362" spans="1:24" x14ac:dyDescent="0.3">
      <c r="A362" t="s">
        <v>773</v>
      </c>
      <c r="B362" s="1">
        <v>45668</v>
      </c>
      <c r="C362">
        <f t="shared" si="37"/>
        <v>11</v>
      </c>
      <c r="D362">
        <f t="shared" si="38"/>
        <v>1</v>
      </c>
      <c r="E362">
        <f t="shared" si="39"/>
        <v>2025</v>
      </c>
      <c r="F362" t="str">
        <f t="shared" si="35"/>
        <v>Jan</v>
      </c>
      <c r="G362" t="str">
        <f t="shared" si="36"/>
        <v>Sat</v>
      </c>
      <c r="H362" t="str">
        <f t="shared" si="40"/>
        <v>Weekend</v>
      </c>
      <c r="I362" s="2">
        <v>0.4375</v>
      </c>
      <c r="J362" s="2">
        <f t="shared" si="41"/>
        <v>0.4375</v>
      </c>
      <c r="K362" t="s">
        <v>774</v>
      </c>
      <c r="L362" t="s">
        <v>52</v>
      </c>
      <c r="M362" t="s">
        <v>26</v>
      </c>
      <c r="N362" t="s">
        <v>20</v>
      </c>
      <c r="O362" t="s">
        <v>21</v>
      </c>
      <c r="P362">
        <v>6</v>
      </c>
      <c r="Q362">
        <v>107</v>
      </c>
      <c r="R362">
        <v>642</v>
      </c>
      <c r="S362">
        <v>0</v>
      </c>
      <c r="T362">
        <v>642</v>
      </c>
      <c r="U362" t="s">
        <v>22</v>
      </c>
      <c r="V362">
        <v>20</v>
      </c>
      <c r="W362" t="s">
        <v>23</v>
      </c>
      <c r="X362">
        <v>5</v>
      </c>
    </row>
    <row r="363" spans="1:24" x14ac:dyDescent="0.3">
      <c r="A363" t="s">
        <v>775</v>
      </c>
      <c r="B363" s="1">
        <v>45665</v>
      </c>
      <c r="C363">
        <f t="shared" si="37"/>
        <v>8</v>
      </c>
      <c r="D363">
        <f t="shared" si="38"/>
        <v>1</v>
      </c>
      <c r="E363">
        <f t="shared" si="39"/>
        <v>2025</v>
      </c>
      <c r="F363" t="str">
        <f t="shared" si="35"/>
        <v>Jan</v>
      </c>
      <c r="G363" t="str">
        <f t="shared" si="36"/>
        <v>Wed</v>
      </c>
      <c r="H363" t="str">
        <f t="shared" si="40"/>
        <v>Weekday</v>
      </c>
      <c r="I363" s="2">
        <v>0.76041666666666663</v>
      </c>
      <c r="J363" s="2">
        <f t="shared" si="41"/>
        <v>0.76041666666666663</v>
      </c>
      <c r="K363" t="s">
        <v>776</v>
      </c>
      <c r="L363" t="s">
        <v>31</v>
      </c>
      <c r="M363" t="s">
        <v>59</v>
      </c>
      <c r="N363" t="s">
        <v>46</v>
      </c>
      <c r="O363" t="s">
        <v>28</v>
      </c>
      <c r="P363">
        <v>6</v>
      </c>
      <c r="Q363">
        <v>81</v>
      </c>
      <c r="R363">
        <v>486</v>
      </c>
      <c r="S363">
        <v>10</v>
      </c>
      <c r="T363">
        <v>476</v>
      </c>
      <c r="U363" t="s">
        <v>34</v>
      </c>
      <c r="V363">
        <v>53</v>
      </c>
      <c r="W363" t="s">
        <v>23</v>
      </c>
      <c r="X363">
        <v>0</v>
      </c>
    </row>
    <row r="364" spans="1:24" x14ac:dyDescent="0.3">
      <c r="A364" t="s">
        <v>777</v>
      </c>
      <c r="B364" s="1">
        <v>45668</v>
      </c>
      <c r="C364">
        <f t="shared" si="37"/>
        <v>11</v>
      </c>
      <c r="D364">
        <f t="shared" si="38"/>
        <v>1</v>
      </c>
      <c r="E364">
        <f t="shared" si="39"/>
        <v>2025</v>
      </c>
      <c r="F364" t="str">
        <f t="shared" si="35"/>
        <v>Jan</v>
      </c>
      <c r="G364" t="str">
        <f t="shared" si="36"/>
        <v>Sat</v>
      </c>
      <c r="H364" t="str">
        <f t="shared" si="40"/>
        <v>Weekend</v>
      </c>
      <c r="I364" s="2">
        <v>0.37847222222222221</v>
      </c>
      <c r="J364" s="2">
        <f t="shared" si="41"/>
        <v>0.37847222222222221</v>
      </c>
      <c r="K364" t="s">
        <v>778</v>
      </c>
      <c r="L364" t="s">
        <v>31</v>
      </c>
      <c r="M364" t="s">
        <v>78</v>
      </c>
      <c r="N364" t="s">
        <v>93</v>
      </c>
      <c r="O364" t="s">
        <v>94</v>
      </c>
      <c r="P364">
        <v>5</v>
      </c>
      <c r="Q364">
        <v>119</v>
      </c>
      <c r="R364">
        <v>595</v>
      </c>
      <c r="S364">
        <v>0</v>
      </c>
      <c r="T364">
        <v>595</v>
      </c>
      <c r="U364" t="s">
        <v>42</v>
      </c>
      <c r="V364">
        <v>28</v>
      </c>
      <c r="W364" t="s">
        <v>35</v>
      </c>
      <c r="X364">
        <v>1</v>
      </c>
    </row>
    <row r="365" spans="1:24" x14ac:dyDescent="0.3">
      <c r="A365" t="s">
        <v>779</v>
      </c>
      <c r="B365" s="1">
        <v>45658</v>
      </c>
      <c r="C365">
        <f t="shared" si="37"/>
        <v>1</v>
      </c>
      <c r="D365">
        <f t="shared" si="38"/>
        <v>1</v>
      </c>
      <c r="E365">
        <f t="shared" si="39"/>
        <v>2025</v>
      </c>
      <c r="F365" t="str">
        <f t="shared" si="35"/>
        <v>Jan</v>
      </c>
      <c r="G365" t="str">
        <f t="shared" si="36"/>
        <v>Wed</v>
      </c>
      <c r="H365" t="str">
        <f t="shared" si="40"/>
        <v>Weekday</v>
      </c>
      <c r="I365" s="2">
        <v>0.4375</v>
      </c>
      <c r="J365" s="2">
        <f t="shared" si="41"/>
        <v>0.4375</v>
      </c>
      <c r="K365" t="s">
        <v>780</v>
      </c>
      <c r="L365" t="s">
        <v>90</v>
      </c>
      <c r="M365" t="s">
        <v>19</v>
      </c>
      <c r="N365" t="s">
        <v>40</v>
      </c>
      <c r="O365" t="s">
        <v>41</v>
      </c>
      <c r="P365">
        <v>1</v>
      </c>
      <c r="Q365">
        <v>118</v>
      </c>
      <c r="R365">
        <v>118</v>
      </c>
      <c r="S365">
        <v>0</v>
      </c>
      <c r="T365">
        <v>118</v>
      </c>
      <c r="U365" t="s">
        <v>34</v>
      </c>
      <c r="V365">
        <v>19</v>
      </c>
      <c r="W365" t="s">
        <v>35</v>
      </c>
      <c r="X365">
        <v>2</v>
      </c>
    </row>
    <row r="366" spans="1:24" x14ac:dyDescent="0.3">
      <c r="A366" t="s">
        <v>781</v>
      </c>
      <c r="B366" s="1">
        <v>45658</v>
      </c>
      <c r="C366">
        <f t="shared" si="37"/>
        <v>1</v>
      </c>
      <c r="D366">
        <f t="shared" si="38"/>
        <v>1</v>
      </c>
      <c r="E366">
        <f t="shared" si="39"/>
        <v>2025</v>
      </c>
      <c r="F366" t="str">
        <f t="shared" si="35"/>
        <v>Jan</v>
      </c>
      <c r="G366" t="str">
        <f t="shared" si="36"/>
        <v>Wed</v>
      </c>
      <c r="H366" t="str">
        <f t="shared" si="40"/>
        <v>Weekday</v>
      </c>
      <c r="I366" s="2">
        <v>0.78125</v>
      </c>
      <c r="J366" s="2">
        <f t="shared" si="41"/>
        <v>0.78125</v>
      </c>
      <c r="K366" t="s">
        <v>782</v>
      </c>
      <c r="L366" t="s">
        <v>52</v>
      </c>
      <c r="M366" t="s">
        <v>19</v>
      </c>
      <c r="N366" t="s">
        <v>40</v>
      </c>
      <c r="O366" t="s">
        <v>41</v>
      </c>
      <c r="P366">
        <v>5</v>
      </c>
      <c r="Q366">
        <v>40</v>
      </c>
      <c r="R366">
        <v>200</v>
      </c>
      <c r="S366">
        <v>0</v>
      </c>
      <c r="T366">
        <v>200</v>
      </c>
      <c r="U366" t="s">
        <v>42</v>
      </c>
      <c r="V366">
        <v>48</v>
      </c>
      <c r="W366" t="s">
        <v>35</v>
      </c>
      <c r="X366">
        <v>0</v>
      </c>
    </row>
    <row r="367" spans="1:24" x14ac:dyDescent="0.3">
      <c r="A367" t="s">
        <v>783</v>
      </c>
      <c r="B367" s="1">
        <v>45659</v>
      </c>
      <c r="C367">
        <f t="shared" si="37"/>
        <v>2</v>
      </c>
      <c r="D367">
        <f t="shared" si="38"/>
        <v>1</v>
      </c>
      <c r="E367">
        <f t="shared" si="39"/>
        <v>2025</v>
      </c>
      <c r="F367" t="str">
        <f t="shared" si="35"/>
        <v>Jan</v>
      </c>
      <c r="G367" t="str">
        <f t="shared" si="36"/>
        <v>Thu</v>
      </c>
      <c r="H367" t="str">
        <f t="shared" si="40"/>
        <v>Weekday</v>
      </c>
      <c r="I367" s="2">
        <v>0.37847222222222221</v>
      </c>
      <c r="J367" s="2">
        <f t="shared" si="41"/>
        <v>0.37847222222222221</v>
      </c>
      <c r="K367" t="s">
        <v>784</v>
      </c>
      <c r="L367" t="s">
        <v>58</v>
      </c>
      <c r="M367" t="s">
        <v>78</v>
      </c>
      <c r="N367" t="s">
        <v>79</v>
      </c>
      <c r="O367" t="s">
        <v>80</v>
      </c>
      <c r="P367">
        <v>5</v>
      </c>
      <c r="Q367">
        <v>13</v>
      </c>
      <c r="R367">
        <v>65</v>
      </c>
      <c r="S367">
        <v>5</v>
      </c>
      <c r="T367">
        <v>60</v>
      </c>
      <c r="U367" t="s">
        <v>64</v>
      </c>
      <c r="V367">
        <v>58</v>
      </c>
      <c r="W367" t="s">
        <v>35</v>
      </c>
      <c r="X367">
        <v>5</v>
      </c>
    </row>
    <row r="368" spans="1:24" x14ac:dyDescent="0.3">
      <c r="A368" t="s">
        <v>785</v>
      </c>
      <c r="B368" s="1">
        <v>45659</v>
      </c>
      <c r="C368">
        <f t="shared" si="37"/>
        <v>2</v>
      </c>
      <c r="D368">
        <f t="shared" si="38"/>
        <v>1</v>
      </c>
      <c r="E368">
        <f t="shared" si="39"/>
        <v>2025</v>
      </c>
      <c r="F368" t="str">
        <f t="shared" si="35"/>
        <v>Jan</v>
      </c>
      <c r="G368" t="str">
        <f t="shared" si="36"/>
        <v>Thu</v>
      </c>
      <c r="H368" t="str">
        <f t="shared" si="40"/>
        <v>Weekday</v>
      </c>
      <c r="I368" s="2">
        <v>0.76041666666666663</v>
      </c>
      <c r="J368" s="2">
        <f t="shared" si="41"/>
        <v>0.76041666666666663</v>
      </c>
      <c r="K368" t="s">
        <v>786</v>
      </c>
      <c r="L368" t="s">
        <v>90</v>
      </c>
      <c r="M368" t="s">
        <v>26</v>
      </c>
      <c r="N368" t="s">
        <v>55</v>
      </c>
      <c r="O368" t="s">
        <v>21</v>
      </c>
      <c r="P368">
        <v>5</v>
      </c>
      <c r="Q368">
        <v>88</v>
      </c>
      <c r="R368">
        <v>440</v>
      </c>
      <c r="S368">
        <v>0</v>
      </c>
      <c r="T368">
        <v>440</v>
      </c>
      <c r="U368" t="s">
        <v>22</v>
      </c>
      <c r="V368">
        <v>26</v>
      </c>
      <c r="W368" t="s">
        <v>23</v>
      </c>
      <c r="X368">
        <v>5</v>
      </c>
    </row>
    <row r="369" spans="1:24" x14ac:dyDescent="0.3">
      <c r="A369" t="s">
        <v>787</v>
      </c>
      <c r="B369" s="1">
        <v>45663</v>
      </c>
      <c r="C369">
        <f t="shared" si="37"/>
        <v>6</v>
      </c>
      <c r="D369">
        <f t="shared" si="38"/>
        <v>1</v>
      </c>
      <c r="E369">
        <f t="shared" si="39"/>
        <v>2025</v>
      </c>
      <c r="F369" t="str">
        <f t="shared" si="35"/>
        <v>Jan</v>
      </c>
      <c r="G369" t="str">
        <f t="shared" si="36"/>
        <v>Mon</v>
      </c>
      <c r="H369" t="str">
        <f t="shared" si="40"/>
        <v>Weekday</v>
      </c>
      <c r="I369" s="2">
        <v>0.37847222222222221</v>
      </c>
      <c r="J369" s="2">
        <f t="shared" si="41"/>
        <v>0.37847222222222221</v>
      </c>
      <c r="K369" t="s">
        <v>788</v>
      </c>
      <c r="L369" t="s">
        <v>38</v>
      </c>
      <c r="M369" t="s">
        <v>69</v>
      </c>
      <c r="N369" t="s">
        <v>46</v>
      </c>
      <c r="O369" t="s">
        <v>28</v>
      </c>
      <c r="P369">
        <v>1</v>
      </c>
      <c r="Q369">
        <v>58</v>
      </c>
      <c r="R369">
        <v>58</v>
      </c>
      <c r="S369">
        <v>10</v>
      </c>
      <c r="T369">
        <v>48</v>
      </c>
      <c r="U369" t="s">
        <v>64</v>
      </c>
      <c r="V369">
        <v>24</v>
      </c>
      <c r="W369" t="s">
        <v>35</v>
      </c>
      <c r="X369">
        <v>1</v>
      </c>
    </row>
    <row r="370" spans="1:24" x14ac:dyDescent="0.3">
      <c r="A370" t="s">
        <v>789</v>
      </c>
      <c r="B370" s="1">
        <v>45658</v>
      </c>
      <c r="C370">
        <f t="shared" si="37"/>
        <v>1</v>
      </c>
      <c r="D370">
        <f t="shared" si="38"/>
        <v>1</v>
      </c>
      <c r="E370">
        <f t="shared" si="39"/>
        <v>2025</v>
      </c>
      <c r="F370" t="str">
        <f t="shared" si="35"/>
        <v>Jan</v>
      </c>
      <c r="G370" t="str">
        <f t="shared" si="36"/>
        <v>Wed</v>
      </c>
      <c r="H370" t="str">
        <f t="shared" si="40"/>
        <v>Weekday</v>
      </c>
      <c r="I370" s="2">
        <v>0.76041666666666663</v>
      </c>
      <c r="J370" s="2">
        <f t="shared" si="41"/>
        <v>0.76041666666666663</v>
      </c>
      <c r="K370" t="s">
        <v>790</v>
      </c>
      <c r="L370" t="s">
        <v>49</v>
      </c>
      <c r="M370" t="s">
        <v>39</v>
      </c>
      <c r="N370" t="s">
        <v>40</v>
      </c>
      <c r="O370" t="s">
        <v>41</v>
      </c>
      <c r="P370">
        <v>3</v>
      </c>
      <c r="Q370">
        <v>97</v>
      </c>
      <c r="R370">
        <v>291</v>
      </c>
      <c r="S370">
        <v>10</v>
      </c>
      <c r="T370">
        <v>281</v>
      </c>
      <c r="U370" t="s">
        <v>42</v>
      </c>
      <c r="V370">
        <v>28</v>
      </c>
      <c r="W370" t="s">
        <v>35</v>
      </c>
      <c r="X370">
        <v>3</v>
      </c>
    </row>
    <row r="371" spans="1:24" x14ac:dyDescent="0.3">
      <c r="A371" t="s">
        <v>791</v>
      </c>
      <c r="B371" s="1">
        <v>45668</v>
      </c>
      <c r="C371">
        <f t="shared" si="37"/>
        <v>11</v>
      </c>
      <c r="D371">
        <f t="shared" si="38"/>
        <v>1</v>
      </c>
      <c r="E371">
        <f t="shared" si="39"/>
        <v>2025</v>
      </c>
      <c r="F371" t="str">
        <f t="shared" si="35"/>
        <v>Jan</v>
      </c>
      <c r="G371" t="str">
        <f t="shared" si="36"/>
        <v>Sat</v>
      </c>
      <c r="H371" t="str">
        <f t="shared" si="40"/>
        <v>Weekend</v>
      </c>
      <c r="I371" s="2">
        <v>0.76041666666666663</v>
      </c>
      <c r="J371" s="2">
        <f t="shared" si="41"/>
        <v>0.76041666666666663</v>
      </c>
      <c r="K371" t="s">
        <v>792</v>
      </c>
      <c r="L371" t="s">
        <v>31</v>
      </c>
      <c r="M371" t="s">
        <v>39</v>
      </c>
      <c r="N371" t="s">
        <v>93</v>
      </c>
      <c r="O371" t="s">
        <v>94</v>
      </c>
      <c r="P371">
        <v>4</v>
      </c>
      <c r="Q371">
        <v>89</v>
      </c>
      <c r="R371">
        <v>356</v>
      </c>
      <c r="S371">
        <v>5</v>
      </c>
      <c r="T371">
        <v>351</v>
      </c>
      <c r="U371" t="s">
        <v>34</v>
      </c>
      <c r="V371">
        <v>13</v>
      </c>
      <c r="W371" t="s">
        <v>23</v>
      </c>
      <c r="X371">
        <v>1</v>
      </c>
    </row>
    <row r="372" spans="1:24" x14ac:dyDescent="0.3">
      <c r="A372" t="s">
        <v>793</v>
      </c>
      <c r="B372" s="1">
        <v>45666</v>
      </c>
      <c r="C372">
        <f t="shared" si="37"/>
        <v>9</v>
      </c>
      <c r="D372">
        <f t="shared" si="38"/>
        <v>1</v>
      </c>
      <c r="E372">
        <f t="shared" si="39"/>
        <v>2025</v>
      </c>
      <c r="F372" t="str">
        <f t="shared" si="35"/>
        <v>Jan</v>
      </c>
      <c r="G372" t="str">
        <f t="shared" si="36"/>
        <v>Thu</v>
      </c>
      <c r="H372" t="str">
        <f t="shared" si="40"/>
        <v>Weekday</v>
      </c>
      <c r="I372" s="2">
        <v>0.4375</v>
      </c>
      <c r="J372" s="2">
        <f t="shared" si="41"/>
        <v>0.4375</v>
      </c>
      <c r="K372" t="s">
        <v>794</v>
      </c>
      <c r="L372" t="s">
        <v>87</v>
      </c>
      <c r="M372" t="s">
        <v>59</v>
      </c>
      <c r="N372" t="s">
        <v>33</v>
      </c>
      <c r="O372" t="s">
        <v>21</v>
      </c>
      <c r="P372">
        <v>4</v>
      </c>
      <c r="Q372">
        <v>49</v>
      </c>
      <c r="R372">
        <v>196</v>
      </c>
      <c r="S372">
        <v>0</v>
      </c>
      <c r="T372">
        <v>196</v>
      </c>
      <c r="U372" t="s">
        <v>64</v>
      </c>
      <c r="V372">
        <v>49</v>
      </c>
      <c r="W372" t="s">
        <v>23</v>
      </c>
      <c r="X372">
        <v>5</v>
      </c>
    </row>
    <row r="373" spans="1:24" x14ac:dyDescent="0.3">
      <c r="A373" t="s">
        <v>795</v>
      </c>
      <c r="B373" s="1">
        <v>45666</v>
      </c>
      <c r="C373">
        <f t="shared" si="37"/>
        <v>9</v>
      </c>
      <c r="D373">
        <f t="shared" si="38"/>
        <v>1</v>
      </c>
      <c r="E373">
        <f t="shared" si="39"/>
        <v>2025</v>
      </c>
      <c r="F373" t="str">
        <f t="shared" si="35"/>
        <v>Jan</v>
      </c>
      <c r="G373" t="str">
        <f t="shared" si="36"/>
        <v>Thu</v>
      </c>
      <c r="H373" t="str">
        <f t="shared" si="40"/>
        <v>Weekday</v>
      </c>
      <c r="I373" s="2">
        <v>0.76041666666666663</v>
      </c>
      <c r="J373" s="2">
        <f t="shared" si="41"/>
        <v>0.76041666666666663</v>
      </c>
      <c r="K373" t="s">
        <v>796</v>
      </c>
      <c r="L373" t="s">
        <v>52</v>
      </c>
      <c r="M373" t="s">
        <v>32</v>
      </c>
      <c r="N373" t="s">
        <v>105</v>
      </c>
      <c r="O373" t="s">
        <v>106</v>
      </c>
      <c r="P373">
        <v>1</v>
      </c>
      <c r="Q373">
        <v>111</v>
      </c>
      <c r="R373">
        <v>111</v>
      </c>
      <c r="S373">
        <v>5</v>
      </c>
      <c r="T373">
        <v>106</v>
      </c>
      <c r="U373" t="s">
        <v>64</v>
      </c>
      <c r="V373">
        <v>12</v>
      </c>
      <c r="W373" t="s">
        <v>35</v>
      </c>
      <c r="X373">
        <v>4</v>
      </c>
    </row>
    <row r="374" spans="1:24" x14ac:dyDescent="0.3">
      <c r="A374" t="s">
        <v>797</v>
      </c>
      <c r="B374" s="1">
        <v>45659</v>
      </c>
      <c r="C374">
        <f t="shared" si="37"/>
        <v>2</v>
      </c>
      <c r="D374">
        <f t="shared" si="38"/>
        <v>1</v>
      </c>
      <c r="E374">
        <f t="shared" si="39"/>
        <v>2025</v>
      </c>
      <c r="F374" t="str">
        <f t="shared" si="35"/>
        <v>Jan</v>
      </c>
      <c r="G374" t="str">
        <f t="shared" si="36"/>
        <v>Thu</v>
      </c>
      <c r="H374" t="str">
        <f t="shared" si="40"/>
        <v>Weekday</v>
      </c>
      <c r="I374" s="2">
        <v>0.78125</v>
      </c>
      <c r="J374" s="2">
        <f t="shared" si="41"/>
        <v>0.78125</v>
      </c>
      <c r="K374" t="s">
        <v>798</v>
      </c>
      <c r="L374" t="s">
        <v>31</v>
      </c>
      <c r="M374" t="s">
        <v>45</v>
      </c>
      <c r="N374" t="s">
        <v>27</v>
      </c>
      <c r="O374" t="s">
        <v>28</v>
      </c>
      <c r="P374">
        <v>3</v>
      </c>
      <c r="Q374">
        <v>77</v>
      </c>
      <c r="R374">
        <v>231</v>
      </c>
      <c r="S374">
        <v>0</v>
      </c>
      <c r="T374">
        <v>231</v>
      </c>
      <c r="U374" t="s">
        <v>34</v>
      </c>
      <c r="V374">
        <v>43</v>
      </c>
      <c r="W374" t="s">
        <v>23</v>
      </c>
      <c r="X374">
        <v>3</v>
      </c>
    </row>
    <row r="375" spans="1:24" x14ac:dyDescent="0.3">
      <c r="A375" t="s">
        <v>799</v>
      </c>
      <c r="B375" s="1">
        <v>45660</v>
      </c>
      <c r="C375">
        <f t="shared" si="37"/>
        <v>3</v>
      </c>
      <c r="D375">
        <f t="shared" si="38"/>
        <v>1</v>
      </c>
      <c r="E375">
        <f t="shared" si="39"/>
        <v>2025</v>
      </c>
      <c r="F375" t="str">
        <f t="shared" si="35"/>
        <v>Jan</v>
      </c>
      <c r="G375" t="str">
        <f t="shared" si="36"/>
        <v>Fri</v>
      </c>
      <c r="H375" t="str">
        <f t="shared" si="40"/>
        <v>Weekday</v>
      </c>
      <c r="I375" s="2">
        <v>0.78125</v>
      </c>
      <c r="J375" s="2">
        <f t="shared" si="41"/>
        <v>0.78125</v>
      </c>
      <c r="K375" t="s">
        <v>800</v>
      </c>
      <c r="L375" t="s">
        <v>31</v>
      </c>
      <c r="M375" t="s">
        <v>26</v>
      </c>
      <c r="N375" t="s">
        <v>33</v>
      </c>
      <c r="O375" t="s">
        <v>21</v>
      </c>
      <c r="P375">
        <v>1</v>
      </c>
      <c r="Q375">
        <v>33</v>
      </c>
      <c r="R375">
        <v>43</v>
      </c>
      <c r="S375">
        <v>5</v>
      </c>
      <c r="T375">
        <v>28</v>
      </c>
      <c r="U375" t="s">
        <v>64</v>
      </c>
      <c r="V375">
        <v>50</v>
      </c>
      <c r="W375" t="s">
        <v>23</v>
      </c>
      <c r="X375">
        <v>5</v>
      </c>
    </row>
    <row r="376" spans="1:24" x14ac:dyDescent="0.3">
      <c r="A376" t="s">
        <v>801</v>
      </c>
      <c r="B376" s="1">
        <v>45667</v>
      </c>
      <c r="C376">
        <f t="shared" si="37"/>
        <v>10</v>
      </c>
      <c r="D376">
        <f t="shared" si="38"/>
        <v>1</v>
      </c>
      <c r="E376">
        <f t="shared" si="39"/>
        <v>2025</v>
      </c>
      <c r="F376" t="str">
        <f t="shared" si="35"/>
        <v>Jan</v>
      </c>
      <c r="G376" t="str">
        <f t="shared" si="36"/>
        <v>Fri</v>
      </c>
      <c r="H376" t="str">
        <f t="shared" si="40"/>
        <v>Weekday</v>
      </c>
      <c r="I376" s="2">
        <v>0.76041666666666663</v>
      </c>
      <c r="J376" s="2">
        <f t="shared" si="41"/>
        <v>0.76041666666666663</v>
      </c>
      <c r="K376" t="s">
        <v>802</v>
      </c>
      <c r="L376" t="s">
        <v>58</v>
      </c>
      <c r="M376" t="s">
        <v>32</v>
      </c>
      <c r="N376" t="s">
        <v>40</v>
      </c>
      <c r="O376" t="s">
        <v>41</v>
      </c>
      <c r="P376">
        <v>3</v>
      </c>
      <c r="Q376">
        <v>71</v>
      </c>
      <c r="R376">
        <v>213</v>
      </c>
      <c r="S376">
        <v>0</v>
      </c>
      <c r="T376">
        <v>213</v>
      </c>
      <c r="U376" t="s">
        <v>64</v>
      </c>
      <c r="V376">
        <v>25</v>
      </c>
      <c r="W376" t="s">
        <v>35</v>
      </c>
      <c r="X376">
        <v>0</v>
      </c>
    </row>
    <row r="377" spans="1:24" x14ac:dyDescent="0.3">
      <c r="A377" t="s">
        <v>803</v>
      </c>
      <c r="B377" s="1">
        <v>45661</v>
      </c>
      <c r="C377">
        <f t="shared" si="37"/>
        <v>4</v>
      </c>
      <c r="D377">
        <f t="shared" si="38"/>
        <v>1</v>
      </c>
      <c r="E377">
        <f t="shared" si="39"/>
        <v>2025</v>
      </c>
      <c r="F377" t="str">
        <f t="shared" si="35"/>
        <v>Jan</v>
      </c>
      <c r="G377" t="str">
        <f t="shared" si="36"/>
        <v>Sat</v>
      </c>
      <c r="H377" t="str">
        <f t="shared" si="40"/>
        <v>Weekend</v>
      </c>
      <c r="I377" s="2">
        <v>0.4375</v>
      </c>
      <c r="J377" s="2">
        <f t="shared" si="41"/>
        <v>0.4375</v>
      </c>
      <c r="K377" t="s">
        <v>804</v>
      </c>
      <c r="L377" t="s">
        <v>31</v>
      </c>
      <c r="M377" t="s">
        <v>26</v>
      </c>
      <c r="N377" t="s">
        <v>27</v>
      </c>
      <c r="O377" t="s">
        <v>28</v>
      </c>
      <c r="P377">
        <v>1</v>
      </c>
      <c r="Q377">
        <v>92</v>
      </c>
      <c r="R377">
        <v>92</v>
      </c>
      <c r="S377">
        <v>10</v>
      </c>
      <c r="T377">
        <v>82</v>
      </c>
      <c r="U377" t="s">
        <v>22</v>
      </c>
      <c r="V377">
        <v>41</v>
      </c>
      <c r="W377" t="s">
        <v>35</v>
      </c>
      <c r="X377">
        <v>0</v>
      </c>
    </row>
    <row r="378" spans="1:24" x14ac:dyDescent="0.3">
      <c r="A378" t="s">
        <v>805</v>
      </c>
      <c r="B378" s="1">
        <v>45665</v>
      </c>
      <c r="C378">
        <f t="shared" si="37"/>
        <v>8</v>
      </c>
      <c r="D378">
        <f t="shared" si="38"/>
        <v>1</v>
      </c>
      <c r="E378">
        <f t="shared" si="39"/>
        <v>2025</v>
      </c>
      <c r="F378" t="str">
        <f t="shared" si="35"/>
        <v>Jan</v>
      </c>
      <c r="G378" t="str">
        <f t="shared" si="36"/>
        <v>Wed</v>
      </c>
      <c r="H378" t="str">
        <f t="shared" si="40"/>
        <v>Weekday</v>
      </c>
      <c r="I378" s="2">
        <v>0.37847222222222221</v>
      </c>
      <c r="J378" s="2">
        <f t="shared" si="41"/>
        <v>0.37847222222222221</v>
      </c>
      <c r="K378" t="s">
        <v>806</v>
      </c>
      <c r="L378" t="s">
        <v>52</v>
      </c>
      <c r="M378" t="s">
        <v>19</v>
      </c>
      <c r="N378" t="s">
        <v>27</v>
      </c>
      <c r="O378" t="s">
        <v>28</v>
      </c>
      <c r="P378">
        <v>6</v>
      </c>
      <c r="Q378">
        <v>54</v>
      </c>
      <c r="R378">
        <v>324</v>
      </c>
      <c r="S378">
        <v>10</v>
      </c>
      <c r="T378">
        <v>314</v>
      </c>
      <c r="U378" t="s">
        <v>22</v>
      </c>
      <c r="V378">
        <v>36</v>
      </c>
      <c r="W378" t="s">
        <v>23</v>
      </c>
      <c r="X378">
        <v>2</v>
      </c>
    </row>
    <row r="379" spans="1:24" x14ac:dyDescent="0.3">
      <c r="A379" t="s">
        <v>807</v>
      </c>
      <c r="B379" s="1">
        <v>45663</v>
      </c>
      <c r="C379">
        <f t="shared" si="37"/>
        <v>6</v>
      </c>
      <c r="D379">
        <f t="shared" si="38"/>
        <v>1</v>
      </c>
      <c r="E379">
        <f t="shared" si="39"/>
        <v>2025</v>
      </c>
      <c r="F379" t="str">
        <f t="shared" si="35"/>
        <v>Jan</v>
      </c>
      <c r="G379" t="str">
        <f t="shared" si="36"/>
        <v>Mon</v>
      </c>
      <c r="H379" t="str">
        <f t="shared" si="40"/>
        <v>Weekday</v>
      </c>
      <c r="I379" s="2">
        <v>0.78125</v>
      </c>
      <c r="J379" s="2">
        <f t="shared" si="41"/>
        <v>0.78125</v>
      </c>
      <c r="K379" t="s">
        <v>808</v>
      </c>
      <c r="L379" t="s">
        <v>58</v>
      </c>
      <c r="M379" t="s">
        <v>78</v>
      </c>
      <c r="N379" t="s">
        <v>93</v>
      </c>
      <c r="O379" t="s">
        <v>94</v>
      </c>
      <c r="P379">
        <v>6</v>
      </c>
      <c r="Q379">
        <v>98</v>
      </c>
      <c r="R379">
        <v>588</v>
      </c>
      <c r="S379">
        <v>0</v>
      </c>
      <c r="T379">
        <v>588</v>
      </c>
      <c r="U379" t="s">
        <v>22</v>
      </c>
      <c r="V379">
        <v>20</v>
      </c>
      <c r="W379" t="s">
        <v>23</v>
      </c>
      <c r="X379">
        <v>4</v>
      </c>
    </row>
    <row r="380" spans="1:24" x14ac:dyDescent="0.3">
      <c r="A380" t="s">
        <v>809</v>
      </c>
      <c r="B380" s="1">
        <v>45663</v>
      </c>
      <c r="C380">
        <f t="shared" si="37"/>
        <v>6</v>
      </c>
      <c r="D380">
        <f t="shared" si="38"/>
        <v>1</v>
      </c>
      <c r="E380">
        <f t="shared" si="39"/>
        <v>2025</v>
      </c>
      <c r="F380" t="str">
        <f t="shared" si="35"/>
        <v>Jan</v>
      </c>
      <c r="G380" t="str">
        <f t="shared" si="36"/>
        <v>Mon</v>
      </c>
      <c r="H380" t="str">
        <f t="shared" si="40"/>
        <v>Weekday</v>
      </c>
      <c r="I380" s="2">
        <v>0.37847222222222221</v>
      </c>
      <c r="J380" s="2">
        <f t="shared" si="41"/>
        <v>0.37847222222222221</v>
      </c>
      <c r="K380" t="s">
        <v>810</v>
      </c>
      <c r="L380" t="s">
        <v>52</v>
      </c>
      <c r="M380" t="s">
        <v>26</v>
      </c>
      <c r="N380" t="s">
        <v>27</v>
      </c>
      <c r="O380" t="s">
        <v>28</v>
      </c>
      <c r="P380">
        <v>6</v>
      </c>
      <c r="Q380">
        <v>15</v>
      </c>
      <c r="R380">
        <v>90</v>
      </c>
      <c r="S380">
        <v>5</v>
      </c>
      <c r="T380">
        <v>85</v>
      </c>
      <c r="U380" t="s">
        <v>34</v>
      </c>
      <c r="V380">
        <v>50</v>
      </c>
      <c r="W380" t="s">
        <v>23</v>
      </c>
      <c r="X380">
        <v>1</v>
      </c>
    </row>
    <row r="381" spans="1:24" x14ac:dyDescent="0.3">
      <c r="A381" t="s">
        <v>811</v>
      </c>
      <c r="B381" s="1">
        <v>45667</v>
      </c>
      <c r="C381">
        <f t="shared" si="37"/>
        <v>10</v>
      </c>
      <c r="D381">
        <f t="shared" si="38"/>
        <v>1</v>
      </c>
      <c r="E381">
        <f t="shared" si="39"/>
        <v>2025</v>
      </c>
      <c r="F381" t="str">
        <f t="shared" si="35"/>
        <v>Jan</v>
      </c>
      <c r="G381" t="str">
        <f t="shared" si="36"/>
        <v>Fri</v>
      </c>
      <c r="H381" t="str">
        <f t="shared" si="40"/>
        <v>Weekday</v>
      </c>
      <c r="I381" s="2">
        <v>0.78125</v>
      </c>
      <c r="J381" s="2">
        <f t="shared" si="41"/>
        <v>0.78125</v>
      </c>
      <c r="K381" t="s">
        <v>812</v>
      </c>
      <c r="L381" t="s">
        <v>52</v>
      </c>
      <c r="M381" t="s">
        <v>39</v>
      </c>
      <c r="N381" t="s">
        <v>40</v>
      </c>
      <c r="O381" t="s">
        <v>41</v>
      </c>
      <c r="P381">
        <v>4</v>
      </c>
      <c r="Q381">
        <v>32</v>
      </c>
      <c r="R381">
        <v>128</v>
      </c>
      <c r="S381">
        <v>0</v>
      </c>
      <c r="T381">
        <v>128</v>
      </c>
      <c r="U381" t="s">
        <v>34</v>
      </c>
      <c r="V381">
        <v>40</v>
      </c>
      <c r="W381" t="s">
        <v>35</v>
      </c>
      <c r="X381">
        <v>2</v>
      </c>
    </row>
    <row r="382" spans="1:24" x14ac:dyDescent="0.3">
      <c r="A382" t="s">
        <v>813</v>
      </c>
      <c r="B382" s="1">
        <v>45660</v>
      </c>
      <c r="C382">
        <f t="shared" si="37"/>
        <v>3</v>
      </c>
      <c r="D382">
        <f t="shared" si="38"/>
        <v>1</v>
      </c>
      <c r="E382">
        <f t="shared" si="39"/>
        <v>2025</v>
      </c>
      <c r="F382" t="str">
        <f t="shared" si="35"/>
        <v>Jan</v>
      </c>
      <c r="G382" t="str">
        <f t="shared" si="36"/>
        <v>Fri</v>
      </c>
      <c r="H382" t="str">
        <f t="shared" si="40"/>
        <v>Weekday</v>
      </c>
      <c r="I382" s="2">
        <v>0.76041666666666663</v>
      </c>
      <c r="J382" s="2">
        <f t="shared" si="41"/>
        <v>0.76041666666666663</v>
      </c>
      <c r="K382" t="s">
        <v>814</v>
      </c>
      <c r="L382" t="s">
        <v>87</v>
      </c>
      <c r="M382" t="s">
        <v>19</v>
      </c>
      <c r="N382" t="s">
        <v>33</v>
      </c>
      <c r="O382" t="s">
        <v>21</v>
      </c>
      <c r="P382">
        <v>4</v>
      </c>
      <c r="Q382">
        <v>115</v>
      </c>
      <c r="R382">
        <v>460</v>
      </c>
      <c r="S382">
        <v>0</v>
      </c>
      <c r="T382">
        <v>460</v>
      </c>
      <c r="U382" t="s">
        <v>22</v>
      </c>
      <c r="V382">
        <v>29</v>
      </c>
      <c r="W382" t="s">
        <v>35</v>
      </c>
      <c r="X382">
        <v>2</v>
      </c>
    </row>
    <row r="383" spans="1:24" x14ac:dyDescent="0.3">
      <c r="A383" t="s">
        <v>815</v>
      </c>
      <c r="B383" s="1">
        <v>45665</v>
      </c>
      <c r="C383">
        <f t="shared" si="37"/>
        <v>8</v>
      </c>
      <c r="D383">
        <f t="shared" si="38"/>
        <v>1</v>
      </c>
      <c r="E383">
        <f t="shared" si="39"/>
        <v>2025</v>
      </c>
      <c r="F383" t="str">
        <f t="shared" si="35"/>
        <v>Jan</v>
      </c>
      <c r="G383" t="str">
        <f t="shared" si="36"/>
        <v>Wed</v>
      </c>
      <c r="H383" t="str">
        <f t="shared" si="40"/>
        <v>Weekday</v>
      </c>
      <c r="I383" s="2">
        <v>0.78125</v>
      </c>
      <c r="J383" s="2">
        <f t="shared" si="41"/>
        <v>0.78125</v>
      </c>
      <c r="K383" t="s">
        <v>816</v>
      </c>
      <c r="L383" t="s">
        <v>38</v>
      </c>
      <c r="M383" t="s">
        <v>59</v>
      </c>
      <c r="N383" t="s">
        <v>105</v>
      </c>
      <c r="O383" t="s">
        <v>106</v>
      </c>
      <c r="P383">
        <v>1</v>
      </c>
      <c r="Q383">
        <v>47</v>
      </c>
      <c r="R383">
        <v>47</v>
      </c>
      <c r="S383">
        <v>0</v>
      </c>
      <c r="T383">
        <v>47</v>
      </c>
      <c r="U383" t="s">
        <v>22</v>
      </c>
      <c r="V383">
        <v>14</v>
      </c>
      <c r="W383" t="s">
        <v>35</v>
      </c>
      <c r="X383">
        <v>2</v>
      </c>
    </row>
    <row r="384" spans="1:24" x14ac:dyDescent="0.3">
      <c r="A384" t="s">
        <v>817</v>
      </c>
      <c r="B384" s="1">
        <v>45663</v>
      </c>
      <c r="C384">
        <f t="shared" si="37"/>
        <v>6</v>
      </c>
      <c r="D384">
        <f t="shared" si="38"/>
        <v>1</v>
      </c>
      <c r="E384">
        <f t="shared" si="39"/>
        <v>2025</v>
      </c>
      <c r="F384" t="str">
        <f t="shared" si="35"/>
        <v>Jan</v>
      </c>
      <c r="G384" t="str">
        <f t="shared" si="36"/>
        <v>Mon</v>
      </c>
      <c r="H384" t="str">
        <f t="shared" si="40"/>
        <v>Weekday</v>
      </c>
      <c r="I384" s="2">
        <v>0.4375</v>
      </c>
      <c r="J384" s="2">
        <f t="shared" si="41"/>
        <v>0.4375</v>
      </c>
      <c r="K384" t="s">
        <v>818</v>
      </c>
      <c r="L384" t="s">
        <v>90</v>
      </c>
      <c r="M384" t="s">
        <v>69</v>
      </c>
      <c r="N384" t="s">
        <v>105</v>
      </c>
      <c r="O384" t="s">
        <v>106</v>
      </c>
      <c r="P384">
        <v>1</v>
      </c>
      <c r="Q384">
        <v>28</v>
      </c>
      <c r="R384">
        <v>28</v>
      </c>
      <c r="S384">
        <v>10</v>
      </c>
      <c r="T384">
        <v>18</v>
      </c>
      <c r="U384" t="s">
        <v>34</v>
      </c>
      <c r="V384">
        <v>52</v>
      </c>
      <c r="W384" t="s">
        <v>23</v>
      </c>
      <c r="X384">
        <v>5</v>
      </c>
    </row>
    <row r="385" spans="1:24" x14ac:dyDescent="0.3">
      <c r="A385" t="s">
        <v>819</v>
      </c>
      <c r="B385" s="1">
        <v>45663</v>
      </c>
      <c r="C385">
        <f t="shared" si="37"/>
        <v>6</v>
      </c>
      <c r="D385">
        <f t="shared" si="38"/>
        <v>1</v>
      </c>
      <c r="E385">
        <f t="shared" si="39"/>
        <v>2025</v>
      </c>
      <c r="F385" t="str">
        <f t="shared" si="35"/>
        <v>Jan</v>
      </c>
      <c r="G385" t="str">
        <f t="shared" si="36"/>
        <v>Mon</v>
      </c>
      <c r="H385" t="str">
        <f t="shared" si="40"/>
        <v>Weekday</v>
      </c>
      <c r="I385" s="2">
        <v>0.76041666666666663</v>
      </c>
      <c r="J385" s="2">
        <f t="shared" si="41"/>
        <v>0.76041666666666663</v>
      </c>
      <c r="K385" t="s">
        <v>820</v>
      </c>
      <c r="L385" t="s">
        <v>52</v>
      </c>
      <c r="M385" t="s">
        <v>26</v>
      </c>
      <c r="N385" t="s">
        <v>27</v>
      </c>
      <c r="O385" t="s">
        <v>28</v>
      </c>
      <c r="P385">
        <v>5</v>
      </c>
      <c r="Q385">
        <v>80</v>
      </c>
      <c r="R385">
        <v>400</v>
      </c>
      <c r="S385">
        <v>0</v>
      </c>
      <c r="T385">
        <v>400</v>
      </c>
      <c r="U385" t="s">
        <v>64</v>
      </c>
      <c r="V385">
        <v>56</v>
      </c>
      <c r="W385" t="s">
        <v>23</v>
      </c>
      <c r="X385">
        <v>2</v>
      </c>
    </row>
    <row r="386" spans="1:24" x14ac:dyDescent="0.3">
      <c r="A386" t="s">
        <v>821</v>
      </c>
      <c r="B386" s="1">
        <v>45662</v>
      </c>
      <c r="C386">
        <f t="shared" si="37"/>
        <v>5</v>
      </c>
      <c r="D386">
        <f t="shared" si="38"/>
        <v>1</v>
      </c>
      <c r="E386">
        <f t="shared" si="39"/>
        <v>2025</v>
      </c>
      <c r="F386" t="str">
        <f t="shared" ref="F386:F449" si="42">TEXT(B386,"mmm")</f>
        <v>Jan</v>
      </c>
      <c r="G386" t="str">
        <f t="shared" ref="G386:G449" si="43">TEXT(B386,"ddd")</f>
        <v>Sun</v>
      </c>
      <c r="H386" t="str">
        <f t="shared" si="40"/>
        <v>Weekend</v>
      </c>
      <c r="I386" s="2">
        <v>0.76041666666666663</v>
      </c>
      <c r="J386" s="2">
        <f t="shared" si="41"/>
        <v>0.76041666666666663</v>
      </c>
      <c r="K386" t="s">
        <v>822</v>
      </c>
      <c r="L386" t="s">
        <v>52</v>
      </c>
      <c r="M386" t="s">
        <v>32</v>
      </c>
      <c r="N386" t="s">
        <v>33</v>
      </c>
      <c r="O386" t="s">
        <v>21</v>
      </c>
      <c r="P386">
        <v>4</v>
      </c>
      <c r="Q386">
        <v>89</v>
      </c>
      <c r="R386">
        <v>356</v>
      </c>
      <c r="S386">
        <v>0</v>
      </c>
      <c r="T386">
        <v>356</v>
      </c>
      <c r="U386" t="s">
        <v>34</v>
      </c>
      <c r="V386">
        <v>20</v>
      </c>
      <c r="W386" t="s">
        <v>35</v>
      </c>
      <c r="X386">
        <v>2</v>
      </c>
    </row>
    <row r="387" spans="1:24" x14ac:dyDescent="0.3">
      <c r="A387" t="s">
        <v>823</v>
      </c>
      <c r="B387" s="1">
        <v>45658</v>
      </c>
      <c r="C387">
        <f t="shared" ref="C387:C450" si="44">DAY(B387)</f>
        <v>1</v>
      </c>
      <c r="D387">
        <f t="shared" ref="D387:D450" si="45">MONTH(B387)</f>
        <v>1</v>
      </c>
      <c r="E387">
        <f t="shared" ref="E387:E450" si="46">YEAR(B387)</f>
        <v>2025</v>
      </c>
      <c r="F387" t="str">
        <f t="shared" si="42"/>
        <v>Jan</v>
      </c>
      <c r="G387" t="str">
        <f t="shared" si="43"/>
        <v>Wed</v>
      </c>
      <c r="H387" t="str">
        <f t="shared" ref="H387:H450" si="47">IF(OR(G387="sat",G387="sun"),"Weekend","Weekday")</f>
        <v>Weekday</v>
      </c>
      <c r="I387" s="2">
        <v>0.78125</v>
      </c>
      <c r="J387" s="2">
        <f t="shared" ref="J387:J450" si="48">IF(ISNUMBER(I387),I387,IFERROR(TIMEVALUE(I387),TIMEVALUE(SUBSTITUTE(I387,".",":"))))</f>
        <v>0.78125</v>
      </c>
      <c r="K387" t="s">
        <v>824</v>
      </c>
      <c r="L387" t="s">
        <v>38</v>
      </c>
      <c r="M387" t="s">
        <v>59</v>
      </c>
      <c r="N387" t="s">
        <v>27</v>
      </c>
      <c r="O387" t="s">
        <v>28</v>
      </c>
      <c r="P387">
        <v>6</v>
      </c>
      <c r="Q387">
        <v>61</v>
      </c>
      <c r="R387">
        <v>366</v>
      </c>
      <c r="S387">
        <v>5</v>
      </c>
      <c r="T387">
        <v>361</v>
      </c>
      <c r="U387" t="s">
        <v>34</v>
      </c>
      <c r="V387">
        <v>16</v>
      </c>
      <c r="W387" t="s">
        <v>35</v>
      </c>
      <c r="X387">
        <v>4</v>
      </c>
    </row>
    <row r="388" spans="1:24" x14ac:dyDescent="0.3">
      <c r="A388" t="s">
        <v>825</v>
      </c>
      <c r="B388" s="1">
        <v>45664</v>
      </c>
      <c r="C388">
        <f t="shared" si="44"/>
        <v>7</v>
      </c>
      <c r="D388">
        <f t="shared" si="45"/>
        <v>1</v>
      </c>
      <c r="E388">
        <f t="shared" si="46"/>
        <v>2025</v>
      </c>
      <c r="F388" t="str">
        <f t="shared" si="42"/>
        <v>Jan</v>
      </c>
      <c r="G388" t="str">
        <f t="shared" si="43"/>
        <v>Tue</v>
      </c>
      <c r="H388" t="str">
        <f t="shared" si="47"/>
        <v>Weekday</v>
      </c>
      <c r="I388" s="2">
        <v>0.37847222222222221</v>
      </c>
      <c r="J388" s="2">
        <f t="shared" si="48"/>
        <v>0.37847222222222221</v>
      </c>
      <c r="K388" t="s">
        <v>826</v>
      </c>
      <c r="L388" t="s">
        <v>31</v>
      </c>
      <c r="M388" t="s">
        <v>69</v>
      </c>
      <c r="N388" t="s">
        <v>105</v>
      </c>
      <c r="O388" t="s">
        <v>106</v>
      </c>
      <c r="P388">
        <v>3</v>
      </c>
      <c r="Q388">
        <v>16</v>
      </c>
      <c r="R388">
        <v>58</v>
      </c>
      <c r="S388">
        <v>10</v>
      </c>
      <c r="T388">
        <v>38</v>
      </c>
      <c r="U388" t="s">
        <v>64</v>
      </c>
      <c r="V388">
        <v>45</v>
      </c>
      <c r="W388" t="s">
        <v>23</v>
      </c>
      <c r="X388">
        <v>0</v>
      </c>
    </row>
    <row r="389" spans="1:24" x14ac:dyDescent="0.3">
      <c r="A389" t="s">
        <v>827</v>
      </c>
      <c r="B389" s="1">
        <v>45658</v>
      </c>
      <c r="C389">
        <f t="shared" si="44"/>
        <v>1</v>
      </c>
      <c r="D389">
        <f t="shared" si="45"/>
        <v>1</v>
      </c>
      <c r="E389">
        <f t="shared" si="46"/>
        <v>2025</v>
      </c>
      <c r="F389" t="str">
        <f t="shared" si="42"/>
        <v>Jan</v>
      </c>
      <c r="G389" t="str">
        <f t="shared" si="43"/>
        <v>Wed</v>
      </c>
      <c r="H389" t="str">
        <f t="shared" si="47"/>
        <v>Weekday</v>
      </c>
      <c r="I389" s="2">
        <v>0.78125</v>
      </c>
      <c r="J389" s="2">
        <f t="shared" si="48"/>
        <v>0.78125</v>
      </c>
      <c r="K389" t="s">
        <v>828</v>
      </c>
      <c r="L389" t="s">
        <v>38</v>
      </c>
      <c r="M389" t="s">
        <v>32</v>
      </c>
      <c r="N389" t="s">
        <v>93</v>
      </c>
      <c r="O389" t="s">
        <v>94</v>
      </c>
      <c r="P389">
        <v>4</v>
      </c>
      <c r="Q389">
        <v>83</v>
      </c>
      <c r="R389">
        <v>332</v>
      </c>
      <c r="S389">
        <v>0</v>
      </c>
      <c r="T389">
        <v>332</v>
      </c>
      <c r="U389" t="s">
        <v>34</v>
      </c>
      <c r="V389">
        <v>58</v>
      </c>
      <c r="W389" t="s">
        <v>23</v>
      </c>
      <c r="X389">
        <v>2</v>
      </c>
    </row>
    <row r="390" spans="1:24" x14ac:dyDescent="0.3">
      <c r="A390" t="s">
        <v>829</v>
      </c>
      <c r="B390" s="1">
        <v>45663</v>
      </c>
      <c r="C390">
        <f t="shared" si="44"/>
        <v>6</v>
      </c>
      <c r="D390">
        <f t="shared" si="45"/>
        <v>1</v>
      </c>
      <c r="E390">
        <f t="shared" si="46"/>
        <v>2025</v>
      </c>
      <c r="F390" t="str">
        <f t="shared" si="42"/>
        <v>Jan</v>
      </c>
      <c r="G390" t="str">
        <f t="shared" si="43"/>
        <v>Mon</v>
      </c>
      <c r="H390" t="str">
        <f t="shared" si="47"/>
        <v>Weekday</v>
      </c>
      <c r="I390" s="2">
        <v>0.78125</v>
      </c>
      <c r="J390" s="2">
        <f t="shared" si="48"/>
        <v>0.78125</v>
      </c>
      <c r="K390" t="s">
        <v>830</v>
      </c>
      <c r="L390" t="s">
        <v>38</v>
      </c>
      <c r="M390" t="s">
        <v>19</v>
      </c>
      <c r="N390" t="s">
        <v>46</v>
      </c>
      <c r="O390" t="s">
        <v>28</v>
      </c>
      <c r="P390">
        <v>4</v>
      </c>
      <c r="Q390">
        <v>57</v>
      </c>
      <c r="R390">
        <v>228</v>
      </c>
      <c r="S390">
        <v>0</v>
      </c>
      <c r="T390">
        <v>228</v>
      </c>
      <c r="U390" t="s">
        <v>22</v>
      </c>
      <c r="V390">
        <v>28</v>
      </c>
      <c r="W390" t="s">
        <v>35</v>
      </c>
      <c r="X390">
        <v>2</v>
      </c>
    </row>
    <row r="391" spans="1:24" x14ac:dyDescent="0.3">
      <c r="A391" t="s">
        <v>831</v>
      </c>
      <c r="B391" s="1">
        <v>45668</v>
      </c>
      <c r="C391">
        <f t="shared" si="44"/>
        <v>11</v>
      </c>
      <c r="D391">
        <f t="shared" si="45"/>
        <v>1</v>
      </c>
      <c r="E391">
        <f t="shared" si="46"/>
        <v>2025</v>
      </c>
      <c r="F391" t="str">
        <f t="shared" si="42"/>
        <v>Jan</v>
      </c>
      <c r="G391" t="str">
        <f t="shared" si="43"/>
        <v>Sat</v>
      </c>
      <c r="H391" t="str">
        <f t="shared" si="47"/>
        <v>Weekend</v>
      </c>
      <c r="I391" s="2">
        <v>0.76041666666666663</v>
      </c>
      <c r="J391" s="2">
        <f t="shared" si="48"/>
        <v>0.76041666666666663</v>
      </c>
      <c r="K391" t="s">
        <v>832</v>
      </c>
      <c r="L391" t="s">
        <v>87</v>
      </c>
      <c r="M391" t="s">
        <v>69</v>
      </c>
      <c r="N391" t="s">
        <v>79</v>
      </c>
      <c r="O391" t="s">
        <v>80</v>
      </c>
      <c r="P391">
        <v>3</v>
      </c>
      <c r="Q391">
        <v>57</v>
      </c>
      <c r="R391">
        <v>171</v>
      </c>
      <c r="S391">
        <v>10</v>
      </c>
      <c r="T391">
        <v>161</v>
      </c>
      <c r="U391" t="s">
        <v>64</v>
      </c>
      <c r="V391">
        <v>29</v>
      </c>
      <c r="W391" t="s">
        <v>23</v>
      </c>
      <c r="X391">
        <v>5</v>
      </c>
    </row>
    <row r="392" spans="1:24" x14ac:dyDescent="0.3">
      <c r="A392" t="s">
        <v>833</v>
      </c>
      <c r="B392" s="1">
        <v>45664</v>
      </c>
      <c r="C392">
        <f t="shared" si="44"/>
        <v>7</v>
      </c>
      <c r="D392">
        <f t="shared" si="45"/>
        <v>1</v>
      </c>
      <c r="E392">
        <f t="shared" si="46"/>
        <v>2025</v>
      </c>
      <c r="F392" t="str">
        <f t="shared" si="42"/>
        <v>Jan</v>
      </c>
      <c r="G392" t="str">
        <f t="shared" si="43"/>
        <v>Tue</v>
      </c>
      <c r="H392" t="str">
        <f t="shared" si="47"/>
        <v>Weekday</v>
      </c>
      <c r="I392" s="2">
        <v>0.4375</v>
      </c>
      <c r="J392" s="2">
        <f t="shared" si="48"/>
        <v>0.4375</v>
      </c>
      <c r="K392" t="s">
        <v>834</v>
      </c>
      <c r="L392" t="s">
        <v>38</v>
      </c>
      <c r="M392" t="s">
        <v>69</v>
      </c>
      <c r="N392" t="s">
        <v>40</v>
      </c>
      <c r="O392" t="s">
        <v>41</v>
      </c>
      <c r="P392">
        <v>2</v>
      </c>
      <c r="Q392">
        <v>54</v>
      </c>
      <c r="R392">
        <v>108</v>
      </c>
      <c r="S392">
        <v>0</v>
      </c>
      <c r="T392">
        <v>108</v>
      </c>
      <c r="U392" t="s">
        <v>42</v>
      </c>
      <c r="V392">
        <v>21</v>
      </c>
      <c r="W392" t="s">
        <v>35</v>
      </c>
      <c r="X392">
        <v>3</v>
      </c>
    </row>
    <row r="393" spans="1:24" x14ac:dyDescent="0.3">
      <c r="A393" t="s">
        <v>835</v>
      </c>
      <c r="B393" s="1">
        <v>45664</v>
      </c>
      <c r="C393">
        <f t="shared" si="44"/>
        <v>7</v>
      </c>
      <c r="D393">
        <f t="shared" si="45"/>
        <v>1</v>
      </c>
      <c r="E393">
        <f t="shared" si="46"/>
        <v>2025</v>
      </c>
      <c r="F393" t="str">
        <f t="shared" si="42"/>
        <v>Jan</v>
      </c>
      <c r="G393" t="str">
        <f t="shared" si="43"/>
        <v>Tue</v>
      </c>
      <c r="H393" t="str">
        <f t="shared" si="47"/>
        <v>Weekday</v>
      </c>
      <c r="I393" s="2">
        <v>0.78125</v>
      </c>
      <c r="J393" s="2">
        <f t="shared" si="48"/>
        <v>0.78125</v>
      </c>
      <c r="K393" t="s">
        <v>836</v>
      </c>
      <c r="L393" t="s">
        <v>38</v>
      </c>
      <c r="M393" t="s">
        <v>45</v>
      </c>
      <c r="N393" t="s">
        <v>33</v>
      </c>
      <c r="O393" t="s">
        <v>21</v>
      </c>
      <c r="P393">
        <v>4</v>
      </c>
      <c r="Q393">
        <v>71</v>
      </c>
      <c r="R393">
        <v>284</v>
      </c>
      <c r="S393">
        <v>0</v>
      </c>
      <c r="T393">
        <v>284</v>
      </c>
      <c r="U393" t="s">
        <v>64</v>
      </c>
      <c r="V393">
        <v>34</v>
      </c>
      <c r="W393" t="s">
        <v>23</v>
      </c>
      <c r="X393">
        <v>0</v>
      </c>
    </row>
    <row r="394" spans="1:24" x14ac:dyDescent="0.3">
      <c r="A394" t="s">
        <v>837</v>
      </c>
      <c r="B394" s="1">
        <v>45666</v>
      </c>
      <c r="C394">
        <f t="shared" si="44"/>
        <v>9</v>
      </c>
      <c r="D394">
        <f t="shared" si="45"/>
        <v>1</v>
      </c>
      <c r="E394">
        <f t="shared" si="46"/>
        <v>2025</v>
      </c>
      <c r="F394" t="str">
        <f t="shared" si="42"/>
        <v>Jan</v>
      </c>
      <c r="G394" t="str">
        <f t="shared" si="43"/>
        <v>Thu</v>
      </c>
      <c r="H394" t="str">
        <f t="shared" si="47"/>
        <v>Weekday</v>
      </c>
      <c r="I394" s="2">
        <v>0.37847222222222221</v>
      </c>
      <c r="J394" s="2">
        <f t="shared" si="48"/>
        <v>0.37847222222222221</v>
      </c>
      <c r="K394" t="s">
        <v>838</v>
      </c>
      <c r="L394" t="s">
        <v>58</v>
      </c>
      <c r="M394" t="s">
        <v>39</v>
      </c>
      <c r="N394" t="s">
        <v>40</v>
      </c>
      <c r="O394" t="s">
        <v>41</v>
      </c>
      <c r="P394">
        <v>1</v>
      </c>
      <c r="Q394">
        <v>111</v>
      </c>
      <c r="R394">
        <v>111</v>
      </c>
      <c r="S394">
        <v>5</v>
      </c>
      <c r="T394">
        <v>106</v>
      </c>
      <c r="U394" t="s">
        <v>64</v>
      </c>
      <c r="V394">
        <v>18</v>
      </c>
      <c r="W394" t="s">
        <v>23</v>
      </c>
      <c r="X394">
        <v>0</v>
      </c>
    </row>
    <row r="395" spans="1:24" x14ac:dyDescent="0.3">
      <c r="A395" t="s">
        <v>839</v>
      </c>
      <c r="B395" s="1">
        <v>45662</v>
      </c>
      <c r="C395">
        <f t="shared" si="44"/>
        <v>5</v>
      </c>
      <c r="D395">
        <f t="shared" si="45"/>
        <v>1</v>
      </c>
      <c r="E395">
        <f t="shared" si="46"/>
        <v>2025</v>
      </c>
      <c r="F395" t="str">
        <f t="shared" si="42"/>
        <v>Jan</v>
      </c>
      <c r="G395" t="str">
        <f t="shared" si="43"/>
        <v>Sun</v>
      </c>
      <c r="H395" t="str">
        <f t="shared" si="47"/>
        <v>Weekend</v>
      </c>
      <c r="I395" s="2">
        <v>0.76041666666666663</v>
      </c>
      <c r="J395" s="2">
        <f t="shared" si="48"/>
        <v>0.76041666666666663</v>
      </c>
      <c r="K395" t="s">
        <v>840</v>
      </c>
      <c r="L395" t="s">
        <v>31</v>
      </c>
      <c r="M395" t="s">
        <v>78</v>
      </c>
      <c r="N395" t="s">
        <v>33</v>
      </c>
      <c r="O395" t="s">
        <v>21</v>
      </c>
      <c r="P395">
        <v>5</v>
      </c>
      <c r="Q395">
        <v>105</v>
      </c>
      <c r="R395">
        <v>525</v>
      </c>
      <c r="S395">
        <v>10</v>
      </c>
      <c r="T395">
        <v>515</v>
      </c>
      <c r="U395" t="s">
        <v>64</v>
      </c>
      <c r="V395">
        <v>35</v>
      </c>
      <c r="W395" t="s">
        <v>23</v>
      </c>
      <c r="X395">
        <v>5</v>
      </c>
    </row>
    <row r="396" spans="1:24" x14ac:dyDescent="0.3">
      <c r="A396" t="s">
        <v>841</v>
      </c>
      <c r="B396" s="1">
        <v>45665</v>
      </c>
      <c r="C396">
        <f t="shared" si="44"/>
        <v>8</v>
      </c>
      <c r="D396">
        <f t="shared" si="45"/>
        <v>1</v>
      </c>
      <c r="E396">
        <f t="shared" si="46"/>
        <v>2025</v>
      </c>
      <c r="F396" t="str">
        <f t="shared" si="42"/>
        <v>Jan</v>
      </c>
      <c r="G396" t="str">
        <f t="shared" si="43"/>
        <v>Wed</v>
      </c>
      <c r="H396" t="str">
        <f t="shared" si="47"/>
        <v>Weekday</v>
      </c>
      <c r="I396" s="2">
        <v>0.4375</v>
      </c>
      <c r="J396" s="2">
        <f t="shared" si="48"/>
        <v>0.4375</v>
      </c>
      <c r="K396" t="s">
        <v>842</v>
      </c>
      <c r="L396" t="s">
        <v>38</v>
      </c>
      <c r="M396" t="s">
        <v>19</v>
      </c>
      <c r="N396" t="s">
        <v>55</v>
      </c>
      <c r="O396" t="s">
        <v>21</v>
      </c>
      <c r="P396">
        <v>3</v>
      </c>
      <c r="Q396">
        <v>35</v>
      </c>
      <c r="R396">
        <v>105</v>
      </c>
      <c r="S396">
        <v>10</v>
      </c>
      <c r="T396">
        <v>95</v>
      </c>
      <c r="U396" t="s">
        <v>42</v>
      </c>
      <c r="V396">
        <v>16</v>
      </c>
      <c r="W396" t="s">
        <v>35</v>
      </c>
      <c r="X396">
        <v>1</v>
      </c>
    </row>
    <row r="397" spans="1:24" x14ac:dyDescent="0.3">
      <c r="A397" t="s">
        <v>843</v>
      </c>
      <c r="B397" s="1">
        <v>45659</v>
      </c>
      <c r="C397">
        <f t="shared" si="44"/>
        <v>2</v>
      </c>
      <c r="D397">
        <f t="shared" si="45"/>
        <v>1</v>
      </c>
      <c r="E397">
        <f t="shared" si="46"/>
        <v>2025</v>
      </c>
      <c r="F397" t="str">
        <f t="shared" si="42"/>
        <v>Jan</v>
      </c>
      <c r="G397" t="str">
        <f t="shared" si="43"/>
        <v>Thu</v>
      </c>
      <c r="H397" t="str">
        <f t="shared" si="47"/>
        <v>Weekday</v>
      </c>
      <c r="I397" s="2">
        <v>0.37847222222222221</v>
      </c>
      <c r="J397" s="2">
        <f t="shared" si="48"/>
        <v>0.37847222222222221</v>
      </c>
      <c r="K397" t="s">
        <v>844</v>
      </c>
      <c r="L397" t="s">
        <v>87</v>
      </c>
      <c r="M397" t="s">
        <v>32</v>
      </c>
      <c r="N397" t="s">
        <v>55</v>
      </c>
      <c r="O397" t="s">
        <v>21</v>
      </c>
      <c r="P397">
        <v>5</v>
      </c>
      <c r="Q397">
        <v>106</v>
      </c>
      <c r="R397">
        <v>530</v>
      </c>
      <c r="S397">
        <v>0</v>
      </c>
      <c r="T397">
        <v>530</v>
      </c>
      <c r="U397" t="s">
        <v>64</v>
      </c>
      <c r="V397">
        <v>59</v>
      </c>
      <c r="W397" t="s">
        <v>23</v>
      </c>
      <c r="X397">
        <v>3</v>
      </c>
    </row>
    <row r="398" spans="1:24" x14ac:dyDescent="0.3">
      <c r="A398" t="s">
        <v>845</v>
      </c>
      <c r="B398" s="1">
        <v>45663</v>
      </c>
      <c r="C398">
        <f t="shared" si="44"/>
        <v>6</v>
      </c>
      <c r="D398">
        <f t="shared" si="45"/>
        <v>1</v>
      </c>
      <c r="E398">
        <f t="shared" si="46"/>
        <v>2025</v>
      </c>
      <c r="F398" t="str">
        <f t="shared" si="42"/>
        <v>Jan</v>
      </c>
      <c r="G398" t="str">
        <f t="shared" si="43"/>
        <v>Mon</v>
      </c>
      <c r="H398" t="str">
        <f t="shared" si="47"/>
        <v>Weekday</v>
      </c>
      <c r="I398" s="2">
        <v>0.76041666666666663</v>
      </c>
      <c r="J398" s="2">
        <f t="shared" si="48"/>
        <v>0.76041666666666663</v>
      </c>
      <c r="K398" t="s">
        <v>846</v>
      </c>
      <c r="L398" t="s">
        <v>31</v>
      </c>
      <c r="M398" t="s">
        <v>78</v>
      </c>
      <c r="N398" t="s">
        <v>105</v>
      </c>
      <c r="O398" t="s">
        <v>106</v>
      </c>
      <c r="P398">
        <v>6</v>
      </c>
      <c r="Q398">
        <v>51</v>
      </c>
      <c r="R398">
        <v>306</v>
      </c>
      <c r="S398">
        <v>5</v>
      </c>
      <c r="T398">
        <v>301</v>
      </c>
      <c r="U398" t="s">
        <v>64</v>
      </c>
      <c r="V398">
        <v>11</v>
      </c>
      <c r="W398" t="s">
        <v>23</v>
      </c>
      <c r="X398">
        <v>4</v>
      </c>
    </row>
    <row r="399" spans="1:24" x14ac:dyDescent="0.3">
      <c r="A399" t="s">
        <v>847</v>
      </c>
      <c r="B399" s="1">
        <v>45661</v>
      </c>
      <c r="C399">
        <f t="shared" si="44"/>
        <v>4</v>
      </c>
      <c r="D399">
        <f t="shared" si="45"/>
        <v>1</v>
      </c>
      <c r="E399">
        <f t="shared" si="46"/>
        <v>2025</v>
      </c>
      <c r="F399" t="str">
        <f t="shared" si="42"/>
        <v>Jan</v>
      </c>
      <c r="G399" t="str">
        <f t="shared" si="43"/>
        <v>Sat</v>
      </c>
      <c r="H399" t="str">
        <f t="shared" si="47"/>
        <v>Weekend</v>
      </c>
      <c r="I399" s="2">
        <v>0.4375</v>
      </c>
      <c r="J399" s="2">
        <f t="shared" si="48"/>
        <v>0.4375</v>
      </c>
      <c r="K399" t="s">
        <v>848</v>
      </c>
      <c r="L399" t="s">
        <v>58</v>
      </c>
      <c r="M399" t="s">
        <v>39</v>
      </c>
      <c r="N399" t="s">
        <v>79</v>
      </c>
      <c r="O399" t="s">
        <v>80</v>
      </c>
      <c r="P399">
        <v>6</v>
      </c>
      <c r="Q399">
        <v>119</v>
      </c>
      <c r="R399">
        <v>714</v>
      </c>
      <c r="S399">
        <v>0</v>
      </c>
      <c r="T399">
        <v>714</v>
      </c>
      <c r="U399" t="s">
        <v>42</v>
      </c>
      <c r="V399">
        <v>10</v>
      </c>
      <c r="W399" t="s">
        <v>23</v>
      </c>
      <c r="X399">
        <v>1</v>
      </c>
    </row>
    <row r="400" spans="1:24" x14ac:dyDescent="0.3">
      <c r="A400" t="s">
        <v>849</v>
      </c>
      <c r="B400" s="1">
        <v>45667</v>
      </c>
      <c r="C400">
        <f t="shared" si="44"/>
        <v>10</v>
      </c>
      <c r="D400">
        <f t="shared" si="45"/>
        <v>1</v>
      </c>
      <c r="E400">
        <f t="shared" si="46"/>
        <v>2025</v>
      </c>
      <c r="F400" t="str">
        <f t="shared" si="42"/>
        <v>Jan</v>
      </c>
      <c r="G400" t="str">
        <f t="shared" si="43"/>
        <v>Fri</v>
      </c>
      <c r="H400" t="str">
        <f t="shared" si="47"/>
        <v>Weekday</v>
      </c>
      <c r="I400" s="2">
        <v>0.4375</v>
      </c>
      <c r="J400" s="2">
        <f t="shared" si="48"/>
        <v>0.4375</v>
      </c>
      <c r="K400" t="s">
        <v>850</v>
      </c>
      <c r="L400" t="s">
        <v>38</v>
      </c>
      <c r="M400" t="s">
        <v>32</v>
      </c>
      <c r="N400" t="s">
        <v>40</v>
      </c>
      <c r="O400" t="s">
        <v>41</v>
      </c>
      <c r="P400">
        <v>3</v>
      </c>
      <c r="Q400">
        <v>22</v>
      </c>
      <c r="R400">
        <v>66</v>
      </c>
      <c r="S400">
        <v>5</v>
      </c>
      <c r="T400">
        <v>61</v>
      </c>
      <c r="U400" t="s">
        <v>64</v>
      </c>
      <c r="V400">
        <v>15</v>
      </c>
      <c r="W400" t="s">
        <v>23</v>
      </c>
      <c r="X400">
        <v>5</v>
      </c>
    </row>
    <row r="401" spans="1:24" x14ac:dyDescent="0.3">
      <c r="A401" t="s">
        <v>851</v>
      </c>
      <c r="B401" s="1">
        <v>45663</v>
      </c>
      <c r="C401">
        <f t="shared" si="44"/>
        <v>6</v>
      </c>
      <c r="D401">
        <f t="shared" si="45"/>
        <v>1</v>
      </c>
      <c r="E401">
        <f t="shared" si="46"/>
        <v>2025</v>
      </c>
      <c r="F401" t="str">
        <f t="shared" si="42"/>
        <v>Jan</v>
      </c>
      <c r="G401" t="str">
        <f t="shared" si="43"/>
        <v>Mon</v>
      </c>
      <c r="H401" t="str">
        <f t="shared" si="47"/>
        <v>Weekday</v>
      </c>
      <c r="I401" s="2">
        <v>0.4375</v>
      </c>
      <c r="J401" s="2">
        <f t="shared" si="48"/>
        <v>0.4375</v>
      </c>
      <c r="K401" t="s">
        <v>852</v>
      </c>
      <c r="L401" t="s">
        <v>31</v>
      </c>
      <c r="M401" t="s">
        <v>19</v>
      </c>
      <c r="N401" t="s">
        <v>79</v>
      </c>
      <c r="O401" t="s">
        <v>80</v>
      </c>
      <c r="P401">
        <v>4</v>
      </c>
      <c r="Q401">
        <v>11</v>
      </c>
      <c r="R401">
        <v>44</v>
      </c>
      <c r="S401">
        <v>0</v>
      </c>
      <c r="T401">
        <v>44</v>
      </c>
      <c r="U401" t="s">
        <v>34</v>
      </c>
      <c r="V401">
        <v>41</v>
      </c>
      <c r="W401" t="s">
        <v>23</v>
      </c>
      <c r="X401">
        <v>5</v>
      </c>
    </row>
    <row r="402" spans="1:24" x14ac:dyDescent="0.3">
      <c r="A402" t="s">
        <v>853</v>
      </c>
      <c r="B402" s="1">
        <v>45660</v>
      </c>
      <c r="C402">
        <f t="shared" si="44"/>
        <v>3</v>
      </c>
      <c r="D402">
        <f t="shared" si="45"/>
        <v>1</v>
      </c>
      <c r="E402">
        <f t="shared" si="46"/>
        <v>2025</v>
      </c>
      <c r="F402" t="str">
        <f t="shared" si="42"/>
        <v>Jan</v>
      </c>
      <c r="G402" t="str">
        <f t="shared" si="43"/>
        <v>Fri</v>
      </c>
      <c r="H402" t="str">
        <f t="shared" si="47"/>
        <v>Weekday</v>
      </c>
      <c r="I402" s="2">
        <v>0.4375</v>
      </c>
      <c r="J402" s="2">
        <f t="shared" si="48"/>
        <v>0.4375</v>
      </c>
      <c r="K402" t="s">
        <v>854</v>
      </c>
      <c r="L402" t="s">
        <v>58</v>
      </c>
      <c r="M402" t="s">
        <v>59</v>
      </c>
      <c r="N402" t="s">
        <v>105</v>
      </c>
      <c r="O402" t="s">
        <v>106</v>
      </c>
      <c r="P402">
        <v>5</v>
      </c>
      <c r="Q402">
        <v>88</v>
      </c>
      <c r="R402">
        <v>440</v>
      </c>
      <c r="S402">
        <v>0</v>
      </c>
      <c r="T402">
        <v>440</v>
      </c>
      <c r="U402" t="s">
        <v>22</v>
      </c>
      <c r="V402">
        <v>33</v>
      </c>
      <c r="W402" t="s">
        <v>23</v>
      </c>
      <c r="X402">
        <v>5</v>
      </c>
    </row>
    <row r="403" spans="1:24" x14ac:dyDescent="0.3">
      <c r="A403" t="s">
        <v>855</v>
      </c>
      <c r="B403" s="1">
        <v>45661</v>
      </c>
      <c r="C403">
        <f t="shared" si="44"/>
        <v>4</v>
      </c>
      <c r="D403">
        <f t="shared" si="45"/>
        <v>1</v>
      </c>
      <c r="E403">
        <f t="shared" si="46"/>
        <v>2025</v>
      </c>
      <c r="F403" t="str">
        <f t="shared" si="42"/>
        <v>Jan</v>
      </c>
      <c r="G403" t="str">
        <f t="shared" si="43"/>
        <v>Sat</v>
      </c>
      <c r="H403" t="str">
        <f t="shared" si="47"/>
        <v>Weekend</v>
      </c>
      <c r="I403" s="2">
        <v>0.78125</v>
      </c>
      <c r="J403" s="2">
        <f t="shared" si="48"/>
        <v>0.78125</v>
      </c>
      <c r="K403" t="s">
        <v>856</v>
      </c>
      <c r="L403" t="s">
        <v>90</v>
      </c>
      <c r="M403" t="s">
        <v>69</v>
      </c>
      <c r="N403" t="s">
        <v>27</v>
      </c>
      <c r="O403" t="s">
        <v>28</v>
      </c>
      <c r="P403">
        <v>1</v>
      </c>
      <c r="Q403">
        <v>75</v>
      </c>
      <c r="R403">
        <v>75</v>
      </c>
      <c r="S403">
        <v>0</v>
      </c>
      <c r="T403">
        <v>75</v>
      </c>
      <c r="U403" t="s">
        <v>42</v>
      </c>
      <c r="V403">
        <v>17</v>
      </c>
      <c r="W403" t="s">
        <v>23</v>
      </c>
      <c r="X403">
        <v>0</v>
      </c>
    </row>
    <row r="404" spans="1:24" x14ac:dyDescent="0.3">
      <c r="A404" t="s">
        <v>857</v>
      </c>
      <c r="B404" s="1">
        <v>45661</v>
      </c>
      <c r="C404">
        <f t="shared" si="44"/>
        <v>4</v>
      </c>
      <c r="D404">
        <f t="shared" si="45"/>
        <v>1</v>
      </c>
      <c r="E404">
        <f t="shared" si="46"/>
        <v>2025</v>
      </c>
      <c r="F404" t="str">
        <f t="shared" si="42"/>
        <v>Jan</v>
      </c>
      <c r="G404" t="str">
        <f t="shared" si="43"/>
        <v>Sat</v>
      </c>
      <c r="H404" t="str">
        <f t="shared" si="47"/>
        <v>Weekend</v>
      </c>
      <c r="I404" s="2">
        <v>0.76041666666666663</v>
      </c>
      <c r="J404" s="2">
        <f t="shared" si="48"/>
        <v>0.76041666666666663</v>
      </c>
      <c r="K404" t="s">
        <v>858</v>
      </c>
      <c r="L404" t="s">
        <v>58</v>
      </c>
      <c r="M404" t="s">
        <v>19</v>
      </c>
      <c r="N404" t="s">
        <v>27</v>
      </c>
      <c r="O404" t="s">
        <v>28</v>
      </c>
      <c r="P404">
        <v>5</v>
      </c>
      <c r="Q404">
        <v>58</v>
      </c>
      <c r="R404">
        <v>290</v>
      </c>
      <c r="S404">
        <v>0</v>
      </c>
      <c r="T404">
        <v>290</v>
      </c>
      <c r="U404" t="s">
        <v>22</v>
      </c>
      <c r="V404">
        <v>29</v>
      </c>
      <c r="W404" t="s">
        <v>35</v>
      </c>
      <c r="X404">
        <v>4</v>
      </c>
    </row>
    <row r="405" spans="1:24" x14ac:dyDescent="0.3">
      <c r="A405" t="s">
        <v>859</v>
      </c>
      <c r="B405" s="1">
        <v>45665</v>
      </c>
      <c r="C405">
        <f t="shared" si="44"/>
        <v>8</v>
      </c>
      <c r="D405">
        <f t="shared" si="45"/>
        <v>1</v>
      </c>
      <c r="E405">
        <f t="shared" si="46"/>
        <v>2025</v>
      </c>
      <c r="F405" t="str">
        <f t="shared" si="42"/>
        <v>Jan</v>
      </c>
      <c r="G405" t="str">
        <f t="shared" si="43"/>
        <v>Wed</v>
      </c>
      <c r="H405" t="str">
        <f t="shared" si="47"/>
        <v>Weekday</v>
      </c>
      <c r="I405" s="2">
        <v>0.76041666666666663</v>
      </c>
      <c r="J405" s="2">
        <f t="shared" si="48"/>
        <v>0.76041666666666663</v>
      </c>
      <c r="K405" t="s">
        <v>860</v>
      </c>
      <c r="L405" t="s">
        <v>52</v>
      </c>
      <c r="M405" t="s">
        <v>78</v>
      </c>
      <c r="N405" t="s">
        <v>40</v>
      </c>
      <c r="O405" t="s">
        <v>41</v>
      </c>
      <c r="P405">
        <v>2</v>
      </c>
      <c r="Q405">
        <v>10</v>
      </c>
      <c r="R405">
        <v>20</v>
      </c>
      <c r="S405">
        <v>10</v>
      </c>
      <c r="T405">
        <v>10</v>
      </c>
      <c r="U405" t="s">
        <v>42</v>
      </c>
      <c r="V405">
        <v>52</v>
      </c>
      <c r="W405" t="s">
        <v>23</v>
      </c>
      <c r="X405">
        <v>0</v>
      </c>
    </row>
    <row r="406" spans="1:24" x14ac:dyDescent="0.3">
      <c r="A406" t="s">
        <v>861</v>
      </c>
      <c r="B406" s="1">
        <v>45658</v>
      </c>
      <c r="C406">
        <f t="shared" si="44"/>
        <v>1</v>
      </c>
      <c r="D406">
        <f t="shared" si="45"/>
        <v>1</v>
      </c>
      <c r="E406">
        <f t="shared" si="46"/>
        <v>2025</v>
      </c>
      <c r="F406" t="str">
        <f t="shared" si="42"/>
        <v>Jan</v>
      </c>
      <c r="G406" t="str">
        <f t="shared" si="43"/>
        <v>Wed</v>
      </c>
      <c r="H406" t="str">
        <f t="shared" si="47"/>
        <v>Weekday</v>
      </c>
      <c r="I406" s="2">
        <v>0.4375</v>
      </c>
      <c r="J406" s="2">
        <f t="shared" si="48"/>
        <v>0.4375</v>
      </c>
      <c r="K406" t="s">
        <v>862</v>
      </c>
      <c r="L406" t="s">
        <v>52</v>
      </c>
      <c r="M406" t="s">
        <v>59</v>
      </c>
      <c r="N406" t="s">
        <v>40</v>
      </c>
      <c r="O406" t="s">
        <v>41</v>
      </c>
      <c r="P406">
        <v>5</v>
      </c>
      <c r="Q406">
        <v>30</v>
      </c>
      <c r="R406">
        <v>150</v>
      </c>
      <c r="S406">
        <v>0</v>
      </c>
      <c r="T406">
        <v>150</v>
      </c>
      <c r="U406" t="s">
        <v>34</v>
      </c>
      <c r="V406">
        <v>15</v>
      </c>
      <c r="W406" t="s">
        <v>35</v>
      </c>
      <c r="X406">
        <v>5</v>
      </c>
    </row>
    <row r="407" spans="1:24" x14ac:dyDescent="0.3">
      <c r="A407" t="s">
        <v>863</v>
      </c>
      <c r="B407" s="1">
        <v>45664</v>
      </c>
      <c r="C407">
        <f t="shared" si="44"/>
        <v>7</v>
      </c>
      <c r="D407">
        <f t="shared" si="45"/>
        <v>1</v>
      </c>
      <c r="E407">
        <f t="shared" si="46"/>
        <v>2025</v>
      </c>
      <c r="F407" t="str">
        <f t="shared" si="42"/>
        <v>Jan</v>
      </c>
      <c r="G407" t="str">
        <f t="shared" si="43"/>
        <v>Tue</v>
      </c>
      <c r="H407" t="str">
        <f t="shared" si="47"/>
        <v>Weekday</v>
      </c>
      <c r="I407" s="2">
        <v>0.37847222222222221</v>
      </c>
      <c r="J407" s="2">
        <f t="shared" si="48"/>
        <v>0.37847222222222221</v>
      </c>
      <c r="K407" t="s">
        <v>864</v>
      </c>
      <c r="L407" t="s">
        <v>87</v>
      </c>
      <c r="M407" t="s">
        <v>32</v>
      </c>
      <c r="N407" t="s">
        <v>55</v>
      </c>
      <c r="O407" t="s">
        <v>21</v>
      </c>
      <c r="P407">
        <v>4</v>
      </c>
      <c r="Q407">
        <v>84</v>
      </c>
      <c r="R407">
        <v>336</v>
      </c>
      <c r="S407">
        <v>5</v>
      </c>
      <c r="T407">
        <v>331</v>
      </c>
      <c r="U407" t="s">
        <v>22</v>
      </c>
      <c r="V407">
        <v>52</v>
      </c>
      <c r="W407" t="s">
        <v>35</v>
      </c>
      <c r="X407">
        <v>5</v>
      </c>
    </row>
    <row r="408" spans="1:24" x14ac:dyDescent="0.3">
      <c r="A408" t="s">
        <v>865</v>
      </c>
      <c r="B408" s="1">
        <v>45663</v>
      </c>
      <c r="C408">
        <f t="shared" si="44"/>
        <v>6</v>
      </c>
      <c r="D408">
        <f t="shared" si="45"/>
        <v>1</v>
      </c>
      <c r="E408">
        <f t="shared" si="46"/>
        <v>2025</v>
      </c>
      <c r="F408" t="str">
        <f t="shared" si="42"/>
        <v>Jan</v>
      </c>
      <c r="G408" t="str">
        <f t="shared" si="43"/>
        <v>Mon</v>
      </c>
      <c r="H408" t="str">
        <f t="shared" si="47"/>
        <v>Weekday</v>
      </c>
      <c r="I408" s="2">
        <v>0.78125</v>
      </c>
      <c r="J408" s="2">
        <f t="shared" si="48"/>
        <v>0.78125</v>
      </c>
      <c r="K408" t="s">
        <v>866</v>
      </c>
      <c r="L408" t="s">
        <v>38</v>
      </c>
      <c r="M408" t="s">
        <v>26</v>
      </c>
      <c r="N408" t="s">
        <v>20</v>
      </c>
      <c r="O408" t="s">
        <v>21</v>
      </c>
      <c r="P408">
        <v>1</v>
      </c>
      <c r="Q408">
        <v>22</v>
      </c>
      <c r="R408">
        <v>22</v>
      </c>
      <c r="S408">
        <v>5</v>
      </c>
      <c r="T408">
        <v>17</v>
      </c>
      <c r="U408" t="s">
        <v>22</v>
      </c>
      <c r="V408">
        <v>46</v>
      </c>
      <c r="W408" t="s">
        <v>35</v>
      </c>
      <c r="X408">
        <v>5</v>
      </c>
    </row>
    <row r="409" spans="1:24" x14ac:dyDescent="0.3">
      <c r="A409" t="s">
        <v>867</v>
      </c>
      <c r="B409" s="1">
        <v>45664</v>
      </c>
      <c r="C409">
        <f t="shared" si="44"/>
        <v>7</v>
      </c>
      <c r="D409">
        <f t="shared" si="45"/>
        <v>1</v>
      </c>
      <c r="E409">
        <f t="shared" si="46"/>
        <v>2025</v>
      </c>
      <c r="F409" t="str">
        <f t="shared" si="42"/>
        <v>Jan</v>
      </c>
      <c r="G409" t="str">
        <f t="shared" si="43"/>
        <v>Tue</v>
      </c>
      <c r="H409" t="str">
        <f t="shared" si="47"/>
        <v>Weekday</v>
      </c>
      <c r="I409" s="2">
        <v>0.37847222222222221</v>
      </c>
      <c r="J409" s="2">
        <f t="shared" si="48"/>
        <v>0.37847222222222221</v>
      </c>
      <c r="K409" t="s">
        <v>868</v>
      </c>
      <c r="L409" t="s">
        <v>31</v>
      </c>
      <c r="M409" t="s">
        <v>32</v>
      </c>
      <c r="N409" t="s">
        <v>93</v>
      </c>
      <c r="O409" t="s">
        <v>94</v>
      </c>
      <c r="P409">
        <v>6</v>
      </c>
      <c r="Q409">
        <v>74</v>
      </c>
      <c r="R409">
        <v>444</v>
      </c>
      <c r="S409">
        <v>5</v>
      </c>
      <c r="T409">
        <v>439</v>
      </c>
      <c r="U409" t="s">
        <v>64</v>
      </c>
      <c r="V409">
        <v>26</v>
      </c>
      <c r="W409" t="s">
        <v>23</v>
      </c>
      <c r="X409">
        <v>3</v>
      </c>
    </row>
    <row r="410" spans="1:24" x14ac:dyDescent="0.3">
      <c r="A410" t="s">
        <v>869</v>
      </c>
      <c r="B410" s="1">
        <v>45668</v>
      </c>
      <c r="C410">
        <f t="shared" si="44"/>
        <v>11</v>
      </c>
      <c r="D410">
        <f t="shared" si="45"/>
        <v>1</v>
      </c>
      <c r="E410">
        <f t="shared" si="46"/>
        <v>2025</v>
      </c>
      <c r="F410" t="str">
        <f t="shared" si="42"/>
        <v>Jan</v>
      </c>
      <c r="G410" t="str">
        <f t="shared" si="43"/>
        <v>Sat</v>
      </c>
      <c r="H410" t="str">
        <f t="shared" si="47"/>
        <v>Weekend</v>
      </c>
      <c r="I410" s="2">
        <v>0.76041666666666663</v>
      </c>
      <c r="J410" s="2">
        <f t="shared" si="48"/>
        <v>0.76041666666666663</v>
      </c>
      <c r="K410" t="s">
        <v>870</v>
      </c>
      <c r="L410" t="s">
        <v>87</v>
      </c>
      <c r="M410" t="s">
        <v>45</v>
      </c>
      <c r="N410" t="s">
        <v>105</v>
      </c>
      <c r="O410" t="s">
        <v>106</v>
      </c>
      <c r="P410">
        <v>5</v>
      </c>
      <c r="Q410">
        <v>46</v>
      </c>
      <c r="R410">
        <v>230</v>
      </c>
      <c r="S410">
        <v>5</v>
      </c>
      <c r="T410">
        <v>225</v>
      </c>
      <c r="U410" t="s">
        <v>22</v>
      </c>
      <c r="V410">
        <v>54</v>
      </c>
      <c r="W410" t="s">
        <v>35</v>
      </c>
      <c r="X410">
        <v>4</v>
      </c>
    </row>
    <row r="411" spans="1:24" x14ac:dyDescent="0.3">
      <c r="A411" t="s">
        <v>871</v>
      </c>
      <c r="B411" s="1">
        <v>45659</v>
      </c>
      <c r="C411">
        <f t="shared" si="44"/>
        <v>2</v>
      </c>
      <c r="D411">
        <f t="shared" si="45"/>
        <v>1</v>
      </c>
      <c r="E411">
        <f t="shared" si="46"/>
        <v>2025</v>
      </c>
      <c r="F411" t="str">
        <f t="shared" si="42"/>
        <v>Jan</v>
      </c>
      <c r="G411" t="str">
        <f t="shared" si="43"/>
        <v>Thu</v>
      </c>
      <c r="H411" t="str">
        <f t="shared" si="47"/>
        <v>Weekday</v>
      </c>
      <c r="I411" s="2">
        <v>0.76041666666666663</v>
      </c>
      <c r="J411" s="2">
        <f t="shared" si="48"/>
        <v>0.76041666666666663</v>
      </c>
      <c r="K411" t="s">
        <v>872</v>
      </c>
      <c r="L411" t="s">
        <v>31</v>
      </c>
      <c r="M411" t="s">
        <v>32</v>
      </c>
      <c r="N411" t="s">
        <v>27</v>
      </c>
      <c r="O411" t="s">
        <v>28</v>
      </c>
      <c r="P411">
        <v>4</v>
      </c>
      <c r="Q411">
        <v>63</v>
      </c>
      <c r="R411">
        <v>252</v>
      </c>
      <c r="S411">
        <v>10</v>
      </c>
      <c r="T411">
        <v>242</v>
      </c>
      <c r="U411" t="s">
        <v>64</v>
      </c>
      <c r="V411">
        <v>52</v>
      </c>
      <c r="W411" t="s">
        <v>23</v>
      </c>
      <c r="X411">
        <v>2</v>
      </c>
    </row>
    <row r="412" spans="1:24" x14ac:dyDescent="0.3">
      <c r="A412" t="s">
        <v>873</v>
      </c>
      <c r="B412" s="1">
        <v>45668</v>
      </c>
      <c r="C412">
        <f t="shared" si="44"/>
        <v>11</v>
      </c>
      <c r="D412">
        <f t="shared" si="45"/>
        <v>1</v>
      </c>
      <c r="E412">
        <f t="shared" si="46"/>
        <v>2025</v>
      </c>
      <c r="F412" t="str">
        <f t="shared" si="42"/>
        <v>Jan</v>
      </c>
      <c r="G412" t="str">
        <f t="shared" si="43"/>
        <v>Sat</v>
      </c>
      <c r="H412" t="str">
        <f t="shared" si="47"/>
        <v>Weekend</v>
      </c>
      <c r="I412" s="2">
        <v>0.37847222222222221</v>
      </c>
      <c r="J412" s="2">
        <f t="shared" si="48"/>
        <v>0.37847222222222221</v>
      </c>
      <c r="K412" t="s">
        <v>874</v>
      </c>
      <c r="L412" t="s">
        <v>31</v>
      </c>
      <c r="M412" t="s">
        <v>69</v>
      </c>
      <c r="N412" t="s">
        <v>27</v>
      </c>
      <c r="O412" t="s">
        <v>28</v>
      </c>
      <c r="P412">
        <v>5</v>
      </c>
      <c r="Q412">
        <v>86</v>
      </c>
      <c r="R412">
        <v>430</v>
      </c>
      <c r="S412">
        <v>0</v>
      </c>
      <c r="T412">
        <v>430</v>
      </c>
      <c r="U412" t="s">
        <v>64</v>
      </c>
      <c r="V412">
        <v>45</v>
      </c>
      <c r="W412" t="s">
        <v>23</v>
      </c>
      <c r="X412">
        <v>1</v>
      </c>
    </row>
    <row r="413" spans="1:24" x14ac:dyDescent="0.3">
      <c r="A413" t="s">
        <v>875</v>
      </c>
      <c r="B413" s="1">
        <v>45659</v>
      </c>
      <c r="C413">
        <f t="shared" si="44"/>
        <v>2</v>
      </c>
      <c r="D413">
        <f t="shared" si="45"/>
        <v>1</v>
      </c>
      <c r="E413">
        <f t="shared" si="46"/>
        <v>2025</v>
      </c>
      <c r="F413" t="str">
        <f t="shared" si="42"/>
        <v>Jan</v>
      </c>
      <c r="G413" t="str">
        <f t="shared" si="43"/>
        <v>Thu</v>
      </c>
      <c r="H413" t="str">
        <f t="shared" si="47"/>
        <v>Weekday</v>
      </c>
      <c r="I413" s="2">
        <v>0.4375</v>
      </c>
      <c r="J413" s="2">
        <f t="shared" si="48"/>
        <v>0.4375</v>
      </c>
      <c r="K413" t="s">
        <v>876</v>
      </c>
      <c r="L413" t="s">
        <v>49</v>
      </c>
      <c r="M413" t="s">
        <v>39</v>
      </c>
      <c r="N413" t="s">
        <v>33</v>
      </c>
      <c r="O413" t="s">
        <v>21</v>
      </c>
      <c r="P413">
        <v>2</v>
      </c>
      <c r="Q413">
        <v>82</v>
      </c>
      <c r="R413">
        <v>164</v>
      </c>
      <c r="S413">
        <v>5</v>
      </c>
      <c r="T413">
        <v>159</v>
      </c>
      <c r="U413" t="s">
        <v>64</v>
      </c>
      <c r="V413">
        <v>51</v>
      </c>
      <c r="W413" t="s">
        <v>35</v>
      </c>
      <c r="X413">
        <v>0</v>
      </c>
    </row>
    <row r="414" spans="1:24" x14ac:dyDescent="0.3">
      <c r="A414" t="s">
        <v>877</v>
      </c>
      <c r="B414" s="1">
        <v>45665</v>
      </c>
      <c r="C414">
        <f t="shared" si="44"/>
        <v>8</v>
      </c>
      <c r="D414">
        <f t="shared" si="45"/>
        <v>1</v>
      </c>
      <c r="E414">
        <f t="shared" si="46"/>
        <v>2025</v>
      </c>
      <c r="F414" t="str">
        <f t="shared" si="42"/>
        <v>Jan</v>
      </c>
      <c r="G414" t="str">
        <f t="shared" si="43"/>
        <v>Wed</v>
      </c>
      <c r="H414" t="str">
        <f t="shared" si="47"/>
        <v>Weekday</v>
      </c>
      <c r="I414" s="2">
        <v>0.4375</v>
      </c>
      <c r="J414" s="2">
        <f t="shared" si="48"/>
        <v>0.4375</v>
      </c>
      <c r="K414" t="s">
        <v>878</v>
      </c>
      <c r="L414" t="s">
        <v>49</v>
      </c>
      <c r="M414" t="s">
        <v>59</v>
      </c>
      <c r="N414" t="s">
        <v>33</v>
      </c>
      <c r="O414" t="s">
        <v>21</v>
      </c>
      <c r="P414">
        <v>6</v>
      </c>
      <c r="Q414">
        <v>51</v>
      </c>
      <c r="R414">
        <v>306</v>
      </c>
      <c r="S414">
        <v>10</v>
      </c>
      <c r="T414">
        <v>296</v>
      </c>
      <c r="U414" t="s">
        <v>42</v>
      </c>
      <c r="V414">
        <v>18</v>
      </c>
      <c r="W414" t="s">
        <v>35</v>
      </c>
      <c r="X414">
        <v>2</v>
      </c>
    </row>
    <row r="415" spans="1:24" x14ac:dyDescent="0.3">
      <c r="A415" t="s">
        <v>879</v>
      </c>
      <c r="B415" s="1">
        <v>45660</v>
      </c>
      <c r="C415">
        <f t="shared" si="44"/>
        <v>3</v>
      </c>
      <c r="D415">
        <f t="shared" si="45"/>
        <v>1</v>
      </c>
      <c r="E415">
        <f t="shared" si="46"/>
        <v>2025</v>
      </c>
      <c r="F415" t="str">
        <f t="shared" si="42"/>
        <v>Jan</v>
      </c>
      <c r="G415" t="str">
        <f t="shared" si="43"/>
        <v>Fri</v>
      </c>
      <c r="H415" t="str">
        <f t="shared" si="47"/>
        <v>Weekday</v>
      </c>
      <c r="I415" s="2">
        <v>0.76041666666666663</v>
      </c>
      <c r="J415" s="2">
        <f t="shared" si="48"/>
        <v>0.76041666666666663</v>
      </c>
      <c r="K415" t="s">
        <v>880</v>
      </c>
      <c r="L415" t="s">
        <v>52</v>
      </c>
      <c r="M415" t="s">
        <v>19</v>
      </c>
      <c r="N415" t="s">
        <v>33</v>
      </c>
      <c r="O415" t="s">
        <v>21</v>
      </c>
      <c r="P415">
        <v>5</v>
      </c>
      <c r="Q415">
        <v>111</v>
      </c>
      <c r="R415">
        <v>555</v>
      </c>
      <c r="S415">
        <v>10</v>
      </c>
      <c r="T415">
        <v>545</v>
      </c>
      <c r="U415" t="s">
        <v>64</v>
      </c>
      <c r="V415">
        <v>42</v>
      </c>
      <c r="W415" t="s">
        <v>35</v>
      </c>
      <c r="X415">
        <v>1</v>
      </c>
    </row>
    <row r="416" spans="1:24" x14ac:dyDescent="0.3">
      <c r="A416" t="s">
        <v>881</v>
      </c>
      <c r="B416" s="1">
        <v>45665</v>
      </c>
      <c r="C416">
        <f t="shared" si="44"/>
        <v>8</v>
      </c>
      <c r="D416">
        <f t="shared" si="45"/>
        <v>1</v>
      </c>
      <c r="E416">
        <f t="shared" si="46"/>
        <v>2025</v>
      </c>
      <c r="F416" t="str">
        <f t="shared" si="42"/>
        <v>Jan</v>
      </c>
      <c r="G416" t="str">
        <f t="shared" si="43"/>
        <v>Wed</v>
      </c>
      <c r="H416" t="str">
        <f t="shared" si="47"/>
        <v>Weekday</v>
      </c>
      <c r="I416" s="2">
        <v>0.76041666666666663</v>
      </c>
      <c r="J416" s="2">
        <f t="shared" si="48"/>
        <v>0.76041666666666663</v>
      </c>
      <c r="K416" t="s">
        <v>882</v>
      </c>
      <c r="L416" t="s">
        <v>52</v>
      </c>
      <c r="M416" t="s">
        <v>59</v>
      </c>
      <c r="N416" t="s">
        <v>27</v>
      </c>
      <c r="O416" t="s">
        <v>28</v>
      </c>
      <c r="P416">
        <v>6</v>
      </c>
      <c r="Q416">
        <v>58</v>
      </c>
      <c r="R416">
        <v>348</v>
      </c>
      <c r="S416">
        <v>0</v>
      </c>
      <c r="T416">
        <v>348</v>
      </c>
      <c r="U416" t="s">
        <v>64</v>
      </c>
      <c r="V416">
        <v>54</v>
      </c>
      <c r="W416" t="s">
        <v>23</v>
      </c>
      <c r="X416">
        <v>0</v>
      </c>
    </row>
    <row r="417" spans="1:24" x14ac:dyDescent="0.3">
      <c r="A417" t="s">
        <v>883</v>
      </c>
      <c r="B417" s="1">
        <v>45662</v>
      </c>
      <c r="C417">
        <f t="shared" si="44"/>
        <v>5</v>
      </c>
      <c r="D417">
        <f t="shared" si="45"/>
        <v>1</v>
      </c>
      <c r="E417">
        <f t="shared" si="46"/>
        <v>2025</v>
      </c>
      <c r="F417" t="str">
        <f t="shared" si="42"/>
        <v>Jan</v>
      </c>
      <c r="G417" t="str">
        <f t="shared" si="43"/>
        <v>Sun</v>
      </c>
      <c r="H417" t="str">
        <f t="shared" si="47"/>
        <v>Weekend</v>
      </c>
      <c r="I417" s="2">
        <v>0.37847222222222221</v>
      </c>
      <c r="J417" s="2">
        <f t="shared" si="48"/>
        <v>0.37847222222222221</v>
      </c>
      <c r="K417" t="s">
        <v>884</v>
      </c>
      <c r="L417" t="s">
        <v>90</v>
      </c>
      <c r="M417" t="s">
        <v>59</v>
      </c>
      <c r="N417" t="s">
        <v>93</v>
      </c>
      <c r="O417" t="s">
        <v>94</v>
      </c>
      <c r="P417">
        <v>1</v>
      </c>
      <c r="Q417">
        <v>11</v>
      </c>
      <c r="R417">
        <v>11</v>
      </c>
      <c r="S417">
        <v>10</v>
      </c>
      <c r="T417">
        <v>1</v>
      </c>
      <c r="U417" t="s">
        <v>64</v>
      </c>
      <c r="V417">
        <v>21</v>
      </c>
      <c r="W417" t="s">
        <v>35</v>
      </c>
      <c r="X417">
        <v>4</v>
      </c>
    </row>
    <row r="418" spans="1:24" x14ac:dyDescent="0.3">
      <c r="A418" t="s">
        <v>885</v>
      </c>
      <c r="B418" s="1">
        <v>45664</v>
      </c>
      <c r="C418">
        <f t="shared" si="44"/>
        <v>7</v>
      </c>
      <c r="D418">
        <f t="shared" si="45"/>
        <v>1</v>
      </c>
      <c r="E418">
        <f t="shared" si="46"/>
        <v>2025</v>
      </c>
      <c r="F418" t="str">
        <f t="shared" si="42"/>
        <v>Jan</v>
      </c>
      <c r="G418" t="str">
        <f t="shared" si="43"/>
        <v>Tue</v>
      </c>
      <c r="H418" t="str">
        <f t="shared" si="47"/>
        <v>Weekday</v>
      </c>
      <c r="I418" s="2">
        <v>0.76041666666666663</v>
      </c>
      <c r="J418" s="2">
        <f t="shared" si="48"/>
        <v>0.76041666666666663</v>
      </c>
      <c r="K418" t="s">
        <v>886</v>
      </c>
      <c r="L418" t="s">
        <v>87</v>
      </c>
      <c r="M418" t="s">
        <v>78</v>
      </c>
      <c r="N418" t="s">
        <v>79</v>
      </c>
      <c r="O418" t="s">
        <v>80</v>
      </c>
      <c r="P418">
        <v>2</v>
      </c>
      <c r="Q418">
        <v>63</v>
      </c>
      <c r="R418">
        <v>126</v>
      </c>
      <c r="S418">
        <v>10</v>
      </c>
      <c r="T418">
        <v>116</v>
      </c>
      <c r="U418" t="s">
        <v>42</v>
      </c>
      <c r="V418">
        <v>55</v>
      </c>
      <c r="W418" t="s">
        <v>35</v>
      </c>
      <c r="X418">
        <v>0</v>
      </c>
    </row>
    <row r="419" spans="1:24" x14ac:dyDescent="0.3">
      <c r="A419" t="s">
        <v>887</v>
      </c>
      <c r="B419" s="1">
        <v>45664</v>
      </c>
      <c r="C419">
        <f t="shared" si="44"/>
        <v>7</v>
      </c>
      <c r="D419">
        <f t="shared" si="45"/>
        <v>1</v>
      </c>
      <c r="E419">
        <f t="shared" si="46"/>
        <v>2025</v>
      </c>
      <c r="F419" t="str">
        <f t="shared" si="42"/>
        <v>Jan</v>
      </c>
      <c r="G419" t="str">
        <f t="shared" si="43"/>
        <v>Tue</v>
      </c>
      <c r="H419" t="str">
        <f t="shared" si="47"/>
        <v>Weekday</v>
      </c>
      <c r="I419" s="2">
        <v>0.37847222222222221</v>
      </c>
      <c r="J419" s="2">
        <f t="shared" si="48"/>
        <v>0.37847222222222221</v>
      </c>
      <c r="K419" t="s">
        <v>888</v>
      </c>
      <c r="L419" t="s">
        <v>31</v>
      </c>
      <c r="M419" t="s">
        <v>45</v>
      </c>
      <c r="N419" t="s">
        <v>55</v>
      </c>
      <c r="O419" t="s">
        <v>21</v>
      </c>
      <c r="P419">
        <v>6</v>
      </c>
      <c r="Q419">
        <v>66</v>
      </c>
      <c r="R419">
        <v>396</v>
      </c>
      <c r="S419">
        <v>10</v>
      </c>
      <c r="T419">
        <v>386</v>
      </c>
      <c r="U419" t="s">
        <v>22</v>
      </c>
      <c r="V419">
        <v>12</v>
      </c>
      <c r="W419" t="s">
        <v>23</v>
      </c>
      <c r="X419">
        <v>0</v>
      </c>
    </row>
    <row r="420" spans="1:24" x14ac:dyDescent="0.3">
      <c r="A420" t="s">
        <v>889</v>
      </c>
      <c r="B420" s="1">
        <v>45662</v>
      </c>
      <c r="C420">
        <f t="shared" si="44"/>
        <v>5</v>
      </c>
      <c r="D420">
        <f t="shared" si="45"/>
        <v>1</v>
      </c>
      <c r="E420">
        <f t="shared" si="46"/>
        <v>2025</v>
      </c>
      <c r="F420" t="str">
        <f t="shared" si="42"/>
        <v>Jan</v>
      </c>
      <c r="G420" t="str">
        <f t="shared" si="43"/>
        <v>Sun</v>
      </c>
      <c r="H420" t="str">
        <f t="shared" si="47"/>
        <v>Weekend</v>
      </c>
      <c r="I420" s="2">
        <v>0.78125</v>
      </c>
      <c r="J420" s="2">
        <f t="shared" si="48"/>
        <v>0.78125</v>
      </c>
      <c r="K420" t="s">
        <v>890</v>
      </c>
      <c r="L420" t="s">
        <v>52</v>
      </c>
      <c r="M420" t="s">
        <v>39</v>
      </c>
      <c r="N420" t="s">
        <v>20</v>
      </c>
      <c r="O420" t="s">
        <v>21</v>
      </c>
      <c r="P420">
        <v>1</v>
      </c>
      <c r="Q420">
        <v>62</v>
      </c>
      <c r="R420">
        <v>62</v>
      </c>
      <c r="S420">
        <v>0</v>
      </c>
      <c r="T420">
        <v>62</v>
      </c>
      <c r="U420" t="s">
        <v>42</v>
      </c>
      <c r="V420">
        <v>23</v>
      </c>
      <c r="W420" t="s">
        <v>23</v>
      </c>
      <c r="X420">
        <v>0</v>
      </c>
    </row>
    <row r="421" spans="1:24" x14ac:dyDescent="0.3">
      <c r="A421" t="s">
        <v>891</v>
      </c>
      <c r="B421" s="1">
        <v>45668</v>
      </c>
      <c r="C421">
        <f t="shared" si="44"/>
        <v>11</v>
      </c>
      <c r="D421">
        <f t="shared" si="45"/>
        <v>1</v>
      </c>
      <c r="E421">
        <f t="shared" si="46"/>
        <v>2025</v>
      </c>
      <c r="F421" t="str">
        <f t="shared" si="42"/>
        <v>Jan</v>
      </c>
      <c r="G421" t="str">
        <f t="shared" si="43"/>
        <v>Sat</v>
      </c>
      <c r="H421" t="str">
        <f t="shared" si="47"/>
        <v>Weekend</v>
      </c>
      <c r="I421" s="2">
        <v>0.78125</v>
      </c>
      <c r="J421" s="2">
        <f t="shared" si="48"/>
        <v>0.78125</v>
      </c>
      <c r="K421" t="s">
        <v>892</v>
      </c>
      <c r="L421" t="s">
        <v>31</v>
      </c>
      <c r="M421" t="s">
        <v>45</v>
      </c>
      <c r="N421" t="s">
        <v>79</v>
      </c>
      <c r="O421" t="s">
        <v>80</v>
      </c>
      <c r="P421">
        <v>1</v>
      </c>
      <c r="Q421">
        <v>14</v>
      </c>
      <c r="R421">
        <v>14</v>
      </c>
      <c r="S421">
        <v>5</v>
      </c>
      <c r="T421">
        <v>9</v>
      </c>
      <c r="U421" t="s">
        <v>22</v>
      </c>
      <c r="V421">
        <v>60</v>
      </c>
      <c r="W421" t="s">
        <v>23</v>
      </c>
      <c r="X421">
        <v>0</v>
      </c>
    </row>
    <row r="422" spans="1:24" x14ac:dyDescent="0.3">
      <c r="A422" t="s">
        <v>893</v>
      </c>
      <c r="B422" s="1">
        <v>45662</v>
      </c>
      <c r="C422">
        <f t="shared" si="44"/>
        <v>5</v>
      </c>
      <c r="D422">
        <f t="shared" si="45"/>
        <v>1</v>
      </c>
      <c r="E422">
        <f t="shared" si="46"/>
        <v>2025</v>
      </c>
      <c r="F422" t="str">
        <f t="shared" si="42"/>
        <v>Jan</v>
      </c>
      <c r="G422" t="str">
        <f t="shared" si="43"/>
        <v>Sun</v>
      </c>
      <c r="H422" t="str">
        <f t="shared" si="47"/>
        <v>Weekend</v>
      </c>
      <c r="I422" s="2">
        <v>0.76041666666666663</v>
      </c>
      <c r="J422" s="2">
        <f t="shared" si="48"/>
        <v>0.76041666666666663</v>
      </c>
      <c r="K422" t="s">
        <v>894</v>
      </c>
      <c r="L422" t="s">
        <v>58</v>
      </c>
      <c r="M422" t="s">
        <v>78</v>
      </c>
      <c r="N422" t="s">
        <v>33</v>
      </c>
      <c r="O422" t="s">
        <v>21</v>
      </c>
      <c r="P422">
        <v>5</v>
      </c>
      <c r="Q422">
        <v>67</v>
      </c>
      <c r="R422">
        <v>335</v>
      </c>
      <c r="S422">
        <v>0</v>
      </c>
      <c r="T422">
        <v>335</v>
      </c>
      <c r="U422" t="s">
        <v>64</v>
      </c>
      <c r="V422">
        <v>40</v>
      </c>
      <c r="W422" t="s">
        <v>35</v>
      </c>
      <c r="X422">
        <v>5</v>
      </c>
    </row>
    <row r="423" spans="1:24" x14ac:dyDescent="0.3">
      <c r="A423" t="s">
        <v>895</v>
      </c>
      <c r="B423" s="1">
        <v>45665</v>
      </c>
      <c r="C423">
        <f t="shared" si="44"/>
        <v>8</v>
      </c>
      <c r="D423">
        <f t="shared" si="45"/>
        <v>1</v>
      </c>
      <c r="E423">
        <f t="shared" si="46"/>
        <v>2025</v>
      </c>
      <c r="F423" t="str">
        <f t="shared" si="42"/>
        <v>Jan</v>
      </c>
      <c r="G423" t="str">
        <f t="shared" si="43"/>
        <v>Wed</v>
      </c>
      <c r="H423" t="str">
        <f t="shared" si="47"/>
        <v>Weekday</v>
      </c>
      <c r="I423" s="2">
        <v>0.4375</v>
      </c>
      <c r="J423" s="2">
        <f t="shared" si="48"/>
        <v>0.4375</v>
      </c>
      <c r="K423" t="s">
        <v>896</v>
      </c>
      <c r="L423" t="s">
        <v>49</v>
      </c>
      <c r="M423" t="s">
        <v>32</v>
      </c>
      <c r="N423" t="s">
        <v>33</v>
      </c>
      <c r="O423" t="s">
        <v>21</v>
      </c>
      <c r="P423">
        <v>3</v>
      </c>
      <c r="Q423">
        <v>93</v>
      </c>
      <c r="R423">
        <v>279</v>
      </c>
      <c r="S423">
        <v>0</v>
      </c>
      <c r="T423">
        <v>279</v>
      </c>
      <c r="U423" t="s">
        <v>22</v>
      </c>
      <c r="V423">
        <v>16</v>
      </c>
      <c r="W423" t="s">
        <v>23</v>
      </c>
      <c r="X423">
        <v>0</v>
      </c>
    </row>
    <row r="424" spans="1:24" x14ac:dyDescent="0.3">
      <c r="A424" t="s">
        <v>897</v>
      </c>
      <c r="B424" s="1">
        <v>45667</v>
      </c>
      <c r="C424">
        <f t="shared" si="44"/>
        <v>10</v>
      </c>
      <c r="D424">
        <f t="shared" si="45"/>
        <v>1</v>
      </c>
      <c r="E424">
        <f t="shared" si="46"/>
        <v>2025</v>
      </c>
      <c r="F424" t="str">
        <f t="shared" si="42"/>
        <v>Jan</v>
      </c>
      <c r="G424" t="str">
        <f t="shared" si="43"/>
        <v>Fri</v>
      </c>
      <c r="H424" t="str">
        <f t="shared" si="47"/>
        <v>Weekday</v>
      </c>
      <c r="I424" s="2">
        <v>0.37847222222222221</v>
      </c>
      <c r="J424" s="2">
        <f t="shared" si="48"/>
        <v>0.37847222222222221</v>
      </c>
      <c r="K424" t="s">
        <v>898</v>
      </c>
      <c r="L424" t="s">
        <v>31</v>
      </c>
      <c r="M424" t="s">
        <v>26</v>
      </c>
      <c r="N424" t="s">
        <v>46</v>
      </c>
      <c r="O424" t="s">
        <v>28</v>
      </c>
      <c r="P424">
        <v>6</v>
      </c>
      <c r="Q424">
        <v>32</v>
      </c>
      <c r="R424">
        <v>192</v>
      </c>
      <c r="S424">
        <v>5</v>
      </c>
      <c r="T424">
        <v>187</v>
      </c>
      <c r="U424" t="s">
        <v>34</v>
      </c>
      <c r="V424">
        <v>36</v>
      </c>
      <c r="W424" t="s">
        <v>23</v>
      </c>
      <c r="X424">
        <v>5</v>
      </c>
    </row>
    <row r="425" spans="1:24" x14ac:dyDescent="0.3">
      <c r="A425" t="s">
        <v>899</v>
      </c>
      <c r="B425" s="1">
        <v>45663</v>
      </c>
      <c r="C425">
        <f t="shared" si="44"/>
        <v>6</v>
      </c>
      <c r="D425">
        <f t="shared" si="45"/>
        <v>1</v>
      </c>
      <c r="E425">
        <f t="shared" si="46"/>
        <v>2025</v>
      </c>
      <c r="F425" t="str">
        <f t="shared" si="42"/>
        <v>Jan</v>
      </c>
      <c r="G425" t="str">
        <f t="shared" si="43"/>
        <v>Mon</v>
      </c>
      <c r="H425" t="str">
        <f t="shared" si="47"/>
        <v>Weekday</v>
      </c>
      <c r="I425" s="2">
        <v>0.37847222222222221</v>
      </c>
      <c r="J425" s="2">
        <f t="shared" si="48"/>
        <v>0.37847222222222221</v>
      </c>
      <c r="K425" t="s">
        <v>900</v>
      </c>
      <c r="L425" t="s">
        <v>49</v>
      </c>
      <c r="M425" t="s">
        <v>19</v>
      </c>
      <c r="N425" t="s">
        <v>55</v>
      </c>
      <c r="O425" t="s">
        <v>21</v>
      </c>
      <c r="P425">
        <v>3</v>
      </c>
      <c r="Q425">
        <v>46</v>
      </c>
      <c r="R425">
        <v>138</v>
      </c>
      <c r="S425">
        <v>0</v>
      </c>
      <c r="T425">
        <v>138</v>
      </c>
      <c r="U425" t="s">
        <v>22</v>
      </c>
      <c r="V425">
        <v>11</v>
      </c>
      <c r="W425" t="s">
        <v>23</v>
      </c>
      <c r="X425">
        <v>1</v>
      </c>
    </row>
    <row r="426" spans="1:24" x14ac:dyDescent="0.3">
      <c r="A426" t="s">
        <v>901</v>
      </c>
      <c r="B426" s="1">
        <v>45665</v>
      </c>
      <c r="C426">
        <f t="shared" si="44"/>
        <v>8</v>
      </c>
      <c r="D426">
        <f t="shared" si="45"/>
        <v>1</v>
      </c>
      <c r="E426">
        <f t="shared" si="46"/>
        <v>2025</v>
      </c>
      <c r="F426" t="str">
        <f t="shared" si="42"/>
        <v>Jan</v>
      </c>
      <c r="G426" t="str">
        <f t="shared" si="43"/>
        <v>Wed</v>
      </c>
      <c r="H426" t="str">
        <f t="shared" si="47"/>
        <v>Weekday</v>
      </c>
      <c r="I426" s="2">
        <v>0.37847222222222221</v>
      </c>
      <c r="J426" s="2">
        <f t="shared" si="48"/>
        <v>0.37847222222222221</v>
      </c>
      <c r="K426" t="s">
        <v>902</v>
      </c>
      <c r="L426" t="s">
        <v>52</v>
      </c>
      <c r="M426" t="s">
        <v>78</v>
      </c>
      <c r="N426" t="s">
        <v>33</v>
      </c>
      <c r="O426" t="s">
        <v>21</v>
      </c>
      <c r="P426">
        <v>3</v>
      </c>
      <c r="Q426">
        <v>120</v>
      </c>
      <c r="R426">
        <v>360</v>
      </c>
      <c r="S426">
        <v>0</v>
      </c>
      <c r="T426">
        <v>360</v>
      </c>
      <c r="U426" t="s">
        <v>42</v>
      </c>
      <c r="V426">
        <v>10</v>
      </c>
      <c r="W426" t="s">
        <v>23</v>
      </c>
      <c r="X426">
        <v>4</v>
      </c>
    </row>
    <row r="427" spans="1:24" x14ac:dyDescent="0.3">
      <c r="A427" t="s">
        <v>903</v>
      </c>
      <c r="B427" s="1">
        <v>45662</v>
      </c>
      <c r="C427">
        <f t="shared" si="44"/>
        <v>5</v>
      </c>
      <c r="D427">
        <f t="shared" si="45"/>
        <v>1</v>
      </c>
      <c r="E427">
        <f t="shared" si="46"/>
        <v>2025</v>
      </c>
      <c r="F427" t="str">
        <f t="shared" si="42"/>
        <v>Jan</v>
      </c>
      <c r="G427" t="str">
        <f t="shared" si="43"/>
        <v>Sun</v>
      </c>
      <c r="H427" t="str">
        <f t="shared" si="47"/>
        <v>Weekend</v>
      </c>
      <c r="I427" s="2">
        <v>0.4375</v>
      </c>
      <c r="J427" s="2">
        <f t="shared" si="48"/>
        <v>0.4375</v>
      </c>
      <c r="K427" t="s">
        <v>904</v>
      </c>
      <c r="L427" t="s">
        <v>52</v>
      </c>
      <c r="M427" t="s">
        <v>45</v>
      </c>
      <c r="N427" t="s">
        <v>20</v>
      </c>
      <c r="O427" t="s">
        <v>21</v>
      </c>
      <c r="P427">
        <v>1</v>
      </c>
      <c r="Q427">
        <v>63</v>
      </c>
      <c r="R427">
        <v>63</v>
      </c>
      <c r="S427">
        <v>5</v>
      </c>
      <c r="T427">
        <v>58</v>
      </c>
      <c r="U427" t="s">
        <v>64</v>
      </c>
      <c r="V427">
        <v>14</v>
      </c>
      <c r="W427" t="s">
        <v>35</v>
      </c>
      <c r="X427">
        <v>5</v>
      </c>
    </row>
    <row r="428" spans="1:24" x14ac:dyDescent="0.3">
      <c r="A428" t="s">
        <v>905</v>
      </c>
      <c r="B428" s="1">
        <v>45668</v>
      </c>
      <c r="C428">
        <f t="shared" si="44"/>
        <v>11</v>
      </c>
      <c r="D428">
        <f t="shared" si="45"/>
        <v>1</v>
      </c>
      <c r="E428">
        <f t="shared" si="46"/>
        <v>2025</v>
      </c>
      <c r="F428" t="str">
        <f t="shared" si="42"/>
        <v>Jan</v>
      </c>
      <c r="G428" t="str">
        <f t="shared" si="43"/>
        <v>Sat</v>
      </c>
      <c r="H428" t="str">
        <f t="shared" si="47"/>
        <v>Weekend</v>
      </c>
      <c r="I428" s="2">
        <v>0.76041666666666663</v>
      </c>
      <c r="J428" s="2">
        <f t="shared" si="48"/>
        <v>0.76041666666666663</v>
      </c>
      <c r="K428" t="s">
        <v>906</v>
      </c>
      <c r="L428" t="s">
        <v>90</v>
      </c>
      <c r="M428" t="s">
        <v>69</v>
      </c>
      <c r="N428" t="s">
        <v>105</v>
      </c>
      <c r="O428" t="s">
        <v>106</v>
      </c>
      <c r="P428">
        <v>4</v>
      </c>
      <c r="Q428">
        <v>55</v>
      </c>
      <c r="R428">
        <v>220</v>
      </c>
      <c r="S428">
        <v>10</v>
      </c>
      <c r="T428">
        <v>210</v>
      </c>
      <c r="U428" t="s">
        <v>42</v>
      </c>
      <c r="V428">
        <v>41</v>
      </c>
      <c r="W428" t="s">
        <v>23</v>
      </c>
      <c r="X428">
        <v>2</v>
      </c>
    </row>
    <row r="429" spans="1:24" x14ac:dyDescent="0.3">
      <c r="A429" t="s">
        <v>907</v>
      </c>
      <c r="B429" s="1">
        <v>45668</v>
      </c>
      <c r="C429">
        <f t="shared" si="44"/>
        <v>11</v>
      </c>
      <c r="D429">
        <f t="shared" si="45"/>
        <v>1</v>
      </c>
      <c r="E429">
        <f t="shared" si="46"/>
        <v>2025</v>
      </c>
      <c r="F429" t="str">
        <f t="shared" si="42"/>
        <v>Jan</v>
      </c>
      <c r="G429" t="str">
        <f t="shared" si="43"/>
        <v>Sat</v>
      </c>
      <c r="H429" t="str">
        <f t="shared" si="47"/>
        <v>Weekend</v>
      </c>
      <c r="I429" s="2">
        <v>0.37847222222222221</v>
      </c>
      <c r="J429" s="2">
        <f t="shared" si="48"/>
        <v>0.37847222222222221</v>
      </c>
      <c r="K429" t="s">
        <v>908</v>
      </c>
      <c r="L429" t="s">
        <v>38</v>
      </c>
      <c r="M429" t="s">
        <v>45</v>
      </c>
      <c r="N429" t="s">
        <v>46</v>
      </c>
      <c r="O429" t="s">
        <v>28</v>
      </c>
      <c r="P429">
        <v>3</v>
      </c>
      <c r="Q429">
        <v>94</v>
      </c>
      <c r="R429">
        <v>282</v>
      </c>
      <c r="S429">
        <v>0</v>
      </c>
      <c r="T429">
        <v>282</v>
      </c>
      <c r="U429" t="s">
        <v>22</v>
      </c>
      <c r="V429">
        <v>18</v>
      </c>
      <c r="W429" t="s">
        <v>23</v>
      </c>
      <c r="X429">
        <v>5</v>
      </c>
    </row>
    <row r="430" spans="1:24" x14ac:dyDescent="0.3">
      <c r="A430" t="s">
        <v>909</v>
      </c>
      <c r="B430" s="1">
        <v>45665</v>
      </c>
      <c r="C430">
        <f t="shared" si="44"/>
        <v>8</v>
      </c>
      <c r="D430">
        <f t="shared" si="45"/>
        <v>1</v>
      </c>
      <c r="E430">
        <f t="shared" si="46"/>
        <v>2025</v>
      </c>
      <c r="F430" t="str">
        <f t="shared" si="42"/>
        <v>Jan</v>
      </c>
      <c r="G430" t="str">
        <f t="shared" si="43"/>
        <v>Wed</v>
      </c>
      <c r="H430" t="str">
        <f t="shared" si="47"/>
        <v>Weekday</v>
      </c>
      <c r="I430" s="2">
        <v>0.37847222222222221</v>
      </c>
      <c r="J430" s="2">
        <f t="shared" si="48"/>
        <v>0.37847222222222221</v>
      </c>
      <c r="K430" t="s">
        <v>910</v>
      </c>
      <c r="L430" t="s">
        <v>52</v>
      </c>
      <c r="M430" t="s">
        <v>26</v>
      </c>
      <c r="N430" t="s">
        <v>105</v>
      </c>
      <c r="O430" t="s">
        <v>106</v>
      </c>
      <c r="P430">
        <v>5</v>
      </c>
      <c r="Q430">
        <v>56</v>
      </c>
      <c r="R430">
        <v>280</v>
      </c>
      <c r="S430">
        <v>10</v>
      </c>
      <c r="T430">
        <v>270</v>
      </c>
      <c r="U430" t="s">
        <v>34</v>
      </c>
      <c r="V430">
        <v>12</v>
      </c>
      <c r="W430" t="s">
        <v>23</v>
      </c>
      <c r="X430">
        <v>3</v>
      </c>
    </row>
    <row r="431" spans="1:24" x14ac:dyDescent="0.3">
      <c r="A431" t="s">
        <v>911</v>
      </c>
      <c r="B431" s="1">
        <v>45665</v>
      </c>
      <c r="C431">
        <f t="shared" si="44"/>
        <v>8</v>
      </c>
      <c r="D431">
        <f t="shared" si="45"/>
        <v>1</v>
      </c>
      <c r="E431">
        <f t="shared" si="46"/>
        <v>2025</v>
      </c>
      <c r="F431" t="str">
        <f t="shared" si="42"/>
        <v>Jan</v>
      </c>
      <c r="G431" t="str">
        <f t="shared" si="43"/>
        <v>Wed</v>
      </c>
      <c r="H431" t="str">
        <f t="shared" si="47"/>
        <v>Weekday</v>
      </c>
      <c r="I431" s="2">
        <v>0.76041666666666663</v>
      </c>
      <c r="J431" s="2">
        <f t="shared" si="48"/>
        <v>0.76041666666666663</v>
      </c>
      <c r="K431" t="s">
        <v>912</v>
      </c>
      <c r="L431" t="s">
        <v>31</v>
      </c>
      <c r="M431" t="s">
        <v>59</v>
      </c>
      <c r="N431" t="s">
        <v>40</v>
      </c>
      <c r="O431" t="s">
        <v>41</v>
      </c>
      <c r="P431">
        <v>2</v>
      </c>
      <c r="Q431">
        <v>41</v>
      </c>
      <c r="R431">
        <v>82</v>
      </c>
      <c r="S431">
        <v>0</v>
      </c>
      <c r="T431">
        <v>82</v>
      </c>
      <c r="U431" t="s">
        <v>34</v>
      </c>
      <c r="V431">
        <v>15</v>
      </c>
      <c r="W431" t="s">
        <v>23</v>
      </c>
      <c r="X431">
        <v>4</v>
      </c>
    </row>
    <row r="432" spans="1:24" x14ac:dyDescent="0.3">
      <c r="A432" t="s">
        <v>913</v>
      </c>
      <c r="B432" s="1">
        <v>45666</v>
      </c>
      <c r="C432">
        <f t="shared" si="44"/>
        <v>9</v>
      </c>
      <c r="D432">
        <f t="shared" si="45"/>
        <v>1</v>
      </c>
      <c r="E432">
        <f t="shared" si="46"/>
        <v>2025</v>
      </c>
      <c r="F432" t="str">
        <f t="shared" si="42"/>
        <v>Jan</v>
      </c>
      <c r="G432" t="str">
        <f t="shared" si="43"/>
        <v>Thu</v>
      </c>
      <c r="H432" t="str">
        <f t="shared" si="47"/>
        <v>Weekday</v>
      </c>
      <c r="I432" s="2">
        <v>0.37847222222222221</v>
      </c>
      <c r="J432" s="2">
        <f t="shared" si="48"/>
        <v>0.37847222222222221</v>
      </c>
      <c r="K432" t="s">
        <v>914</v>
      </c>
      <c r="L432" t="s">
        <v>49</v>
      </c>
      <c r="M432" t="s">
        <v>59</v>
      </c>
      <c r="N432" t="s">
        <v>93</v>
      </c>
      <c r="O432" t="s">
        <v>94</v>
      </c>
      <c r="P432">
        <v>6</v>
      </c>
      <c r="Q432">
        <v>28</v>
      </c>
      <c r="R432">
        <v>168</v>
      </c>
      <c r="S432">
        <v>5</v>
      </c>
      <c r="T432">
        <v>163</v>
      </c>
      <c r="U432" t="s">
        <v>42</v>
      </c>
      <c r="V432">
        <v>47</v>
      </c>
      <c r="W432" t="s">
        <v>23</v>
      </c>
      <c r="X432">
        <v>2</v>
      </c>
    </row>
    <row r="433" spans="1:24" x14ac:dyDescent="0.3">
      <c r="A433" t="s">
        <v>915</v>
      </c>
      <c r="B433" s="1">
        <v>45659</v>
      </c>
      <c r="C433">
        <f t="shared" si="44"/>
        <v>2</v>
      </c>
      <c r="D433">
        <f t="shared" si="45"/>
        <v>1</v>
      </c>
      <c r="E433">
        <f t="shared" si="46"/>
        <v>2025</v>
      </c>
      <c r="F433" t="str">
        <f t="shared" si="42"/>
        <v>Jan</v>
      </c>
      <c r="G433" t="str">
        <f t="shared" si="43"/>
        <v>Thu</v>
      </c>
      <c r="H433" t="str">
        <f t="shared" si="47"/>
        <v>Weekday</v>
      </c>
      <c r="I433" s="2">
        <v>0.37847222222222221</v>
      </c>
      <c r="J433" s="2">
        <f t="shared" si="48"/>
        <v>0.37847222222222221</v>
      </c>
      <c r="K433" t="s">
        <v>916</v>
      </c>
      <c r="L433" t="s">
        <v>52</v>
      </c>
      <c r="M433" t="s">
        <v>39</v>
      </c>
      <c r="N433" t="s">
        <v>27</v>
      </c>
      <c r="O433" t="s">
        <v>28</v>
      </c>
      <c r="P433">
        <v>1</v>
      </c>
      <c r="Q433">
        <v>57</v>
      </c>
      <c r="R433">
        <v>57</v>
      </c>
      <c r="S433">
        <v>5</v>
      </c>
      <c r="T433">
        <v>52</v>
      </c>
      <c r="U433" t="s">
        <v>22</v>
      </c>
      <c r="V433">
        <v>32</v>
      </c>
      <c r="W433" t="s">
        <v>23</v>
      </c>
      <c r="X433">
        <v>5</v>
      </c>
    </row>
    <row r="434" spans="1:24" x14ac:dyDescent="0.3">
      <c r="A434" t="s">
        <v>917</v>
      </c>
      <c r="B434" s="1">
        <v>45668</v>
      </c>
      <c r="C434">
        <f t="shared" si="44"/>
        <v>11</v>
      </c>
      <c r="D434">
        <f t="shared" si="45"/>
        <v>1</v>
      </c>
      <c r="E434">
        <f t="shared" si="46"/>
        <v>2025</v>
      </c>
      <c r="F434" t="str">
        <f t="shared" si="42"/>
        <v>Jan</v>
      </c>
      <c r="G434" t="str">
        <f t="shared" si="43"/>
        <v>Sat</v>
      </c>
      <c r="H434" t="str">
        <f t="shared" si="47"/>
        <v>Weekend</v>
      </c>
      <c r="I434" s="2">
        <v>0.37847222222222221</v>
      </c>
      <c r="J434" s="2">
        <f t="shared" si="48"/>
        <v>0.37847222222222221</v>
      </c>
      <c r="K434" t="s">
        <v>918</v>
      </c>
      <c r="L434" t="s">
        <v>87</v>
      </c>
      <c r="M434" t="s">
        <v>69</v>
      </c>
      <c r="N434" t="s">
        <v>33</v>
      </c>
      <c r="O434" t="s">
        <v>21</v>
      </c>
      <c r="P434">
        <v>1</v>
      </c>
      <c r="Q434">
        <v>22</v>
      </c>
      <c r="R434">
        <v>22</v>
      </c>
      <c r="S434">
        <v>10</v>
      </c>
      <c r="T434">
        <v>12</v>
      </c>
      <c r="U434" t="s">
        <v>34</v>
      </c>
      <c r="V434">
        <v>50</v>
      </c>
      <c r="W434" t="s">
        <v>35</v>
      </c>
      <c r="X434">
        <v>5</v>
      </c>
    </row>
    <row r="435" spans="1:24" x14ac:dyDescent="0.3">
      <c r="A435" t="s">
        <v>919</v>
      </c>
      <c r="B435" s="1">
        <v>45660</v>
      </c>
      <c r="C435">
        <f t="shared" si="44"/>
        <v>3</v>
      </c>
      <c r="D435">
        <f t="shared" si="45"/>
        <v>1</v>
      </c>
      <c r="E435">
        <f t="shared" si="46"/>
        <v>2025</v>
      </c>
      <c r="F435" t="str">
        <f t="shared" si="42"/>
        <v>Jan</v>
      </c>
      <c r="G435" t="str">
        <f t="shared" si="43"/>
        <v>Fri</v>
      </c>
      <c r="H435" t="str">
        <f t="shared" si="47"/>
        <v>Weekday</v>
      </c>
      <c r="I435" s="2">
        <v>0.78125</v>
      </c>
      <c r="J435" s="2">
        <f t="shared" si="48"/>
        <v>0.78125</v>
      </c>
      <c r="K435" t="s">
        <v>920</v>
      </c>
      <c r="L435" t="s">
        <v>38</v>
      </c>
      <c r="M435" t="s">
        <v>32</v>
      </c>
      <c r="N435" t="s">
        <v>93</v>
      </c>
      <c r="O435" t="s">
        <v>94</v>
      </c>
      <c r="P435">
        <v>4</v>
      </c>
      <c r="Q435">
        <v>16</v>
      </c>
      <c r="R435">
        <v>64</v>
      </c>
      <c r="S435">
        <v>0</v>
      </c>
      <c r="T435">
        <v>64</v>
      </c>
      <c r="U435" t="s">
        <v>22</v>
      </c>
      <c r="V435">
        <v>55</v>
      </c>
      <c r="W435" t="s">
        <v>35</v>
      </c>
      <c r="X435">
        <v>2</v>
      </c>
    </row>
    <row r="436" spans="1:24" x14ac:dyDescent="0.3">
      <c r="A436" t="s">
        <v>921</v>
      </c>
      <c r="B436" s="1">
        <v>45666</v>
      </c>
      <c r="C436">
        <f t="shared" si="44"/>
        <v>9</v>
      </c>
      <c r="D436">
        <f t="shared" si="45"/>
        <v>1</v>
      </c>
      <c r="E436">
        <f t="shared" si="46"/>
        <v>2025</v>
      </c>
      <c r="F436" t="str">
        <f t="shared" si="42"/>
        <v>Jan</v>
      </c>
      <c r="G436" t="str">
        <f t="shared" si="43"/>
        <v>Thu</v>
      </c>
      <c r="H436" t="str">
        <f t="shared" si="47"/>
        <v>Weekday</v>
      </c>
      <c r="I436" s="2">
        <v>0.4375</v>
      </c>
      <c r="J436" s="2">
        <f t="shared" si="48"/>
        <v>0.4375</v>
      </c>
      <c r="K436" t="s">
        <v>922</v>
      </c>
      <c r="L436" t="s">
        <v>52</v>
      </c>
      <c r="M436" t="s">
        <v>39</v>
      </c>
      <c r="N436" t="s">
        <v>55</v>
      </c>
      <c r="O436" t="s">
        <v>21</v>
      </c>
      <c r="P436">
        <v>5</v>
      </c>
      <c r="Q436">
        <v>65</v>
      </c>
      <c r="R436">
        <v>325</v>
      </c>
      <c r="S436">
        <v>0</v>
      </c>
      <c r="T436">
        <v>325</v>
      </c>
      <c r="U436" t="s">
        <v>42</v>
      </c>
      <c r="V436">
        <v>56</v>
      </c>
      <c r="W436" t="s">
        <v>23</v>
      </c>
      <c r="X436">
        <v>2</v>
      </c>
    </row>
    <row r="437" spans="1:24" x14ac:dyDescent="0.3">
      <c r="A437" t="s">
        <v>923</v>
      </c>
      <c r="B437" s="1">
        <v>45668</v>
      </c>
      <c r="C437">
        <f t="shared" si="44"/>
        <v>11</v>
      </c>
      <c r="D437">
        <f t="shared" si="45"/>
        <v>1</v>
      </c>
      <c r="E437">
        <f t="shared" si="46"/>
        <v>2025</v>
      </c>
      <c r="F437" t="str">
        <f t="shared" si="42"/>
        <v>Jan</v>
      </c>
      <c r="G437" t="str">
        <f t="shared" si="43"/>
        <v>Sat</v>
      </c>
      <c r="H437" t="str">
        <f t="shared" si="47"/>
        <v>Weekend</v>
      </c>
      <c r="I437" s="2">
        <v>0.4375</v>
      </c>
      <c r="J437" s="2">
        <f t="shared" si="48"/>
        <v>0.4375</v>
      </c>
      <c r="K437" t="s">
        <v>924</v>
      </c>
      <c r="L437" t="s">
        <v>38</v>
      </c>
      <c r="M437" t="s">
        <v>69</v>
      </c>
      <c r="N437" t="s">
        <v>33</v>
      </c>
      <c r="O437" t="s">
        <v>21</v>
      </c>
      <c r="P437">
        <v>6</v>
      </c>
      <c r="Q437">
        <v>65</v>
      </c>
      <c r="R437">
        <v>390</v>
      </c>
      <c r="S437">
        <v>5</v>
      </c>
      <c r="T437">
        <v>385</v>
      </c>
      <c r="U437" t="s">
        <v>64</v>
      </c>
      <c r="V437">
        <v>14</v>
      </c>
      <c r="W437" t="s">
        <v>23</v>
      </c>
      <c r="X437">
        <v>0</v>
      </c>
    </row>
    <row r="438" spans="1:24" x14ac:dyDescent="0.3">
      <c r="A438" t="s">
        <v>925</v>
      </c>
      <c r="B438" s="1">
        <v>45663</v>
      </c>
      <c r="C438">
        <f t="shared" si="44"/>
        <v>6</v>
      </c>
      <c r="D438">
        <f t="shared" si="45"/>
        <v>1</v>
      </c>
      <c r="E438">
        <f t="shared" si="46"/>
        <v>2025</v>
      </c>
      <c r="F438" t="str">
        <f t="shared" si="42"/>
        <v>Jan</v>
      </c>
      <c r="G438" t="str">
        <f t="shared" si="43"/>
        <v>Mon</v>
      </c>
      <c r="H438" t="str">
        <f t="shared" si="47"/>
        <v>Weekday</v>
      </c>
      <c r="I438" s="2">
        <v>0.4375</v>
      </c>
      <c r="J438" s="2">
        <f t="shared" si="48"/>
        <v>0.4375</v>
      </c>
      <c r="K438" t="s">
        <v>926</v>
      </c>
      <c r="L438" t="s">
        <v>49</v>
      </c>
      <c r="M438" t="s">
        <v>32</v>
      </c>
      <c r="N438" t="s">
        <v>93</v>
      </c>
      <c r="O438" t="s">
        <v>94</v>
      </c>
      <c r="P438">
        <v>1</v>
      </c>
      <c r="Q438">
        <v>73</v>
      </c>
      <c r="R438">
        <v>73</v>
      </c>
      <c r="S438">
        <v>0</v>
      </c>
      <c r="T438">
        <v>73</v>
      </c>
      <c r="U438" t="s">
        <v>64</v>
      </c>
      <c r="V438">
        <v>41</v>
      </c>
      <c r="W438" t="s">
        <v>23</v>
      </c>
      <c r="X438">
        <v>1</v>
      </c>
    </row>
    <row r="439" spans="1:24" x14ac:dyDescent="0.3">
      <c r="A439" t="s">
        <v>927</v>
      </c>
      <c r="B439" s="1">
        <v>45663</v>
      </c>
      <c r="C439">
        <f t="shared" si="44"/>
        <v>6</v>
      </c>
      <c r="D439">
        <f t="shared" si="45"/>
        <v>1</v>
      </c>
      <c r="E439">
        <f t="shared" si="46"/>
        <v>2025</v>
      </c>
      <c r="F439" t="str">
        <f t="shared" si="42"/>
        <v>Jan</v>
      </c>
      <c r="G439" t="str">
        <f t="shared" si="43"/>
        <v>Mon</v>
      </c>
      <c r="H439" t="str">
        <f t="shared" si="47"/>
        <v>Weekday</v>
      </c>
      <c r="I439" s="2">
        <v>0.76041666666666663</v>
      </c>
      <c r="J439" s="2">
        <f t="shared" si="48"/>
        <v>0.76041666666666663</v>
      </c>
      <c r="K439" t="s">
        <v>928</v>
      </c>
      <c r="L439" t="s">
        <v>58</v>
      </c>
      <c r="M439" t="s">
        <v>45</v>
      </c>
      <c r="N439" t="s">
        <v>93</v>
      </c>
      <c r="O439" t="s">
        <v>94</v>
      </c>
      <c r="P439">
        <v>2</v>
      </c>
      <c r="Q439">
        <v>43</v>
      </c>
      <c r="R439">
        <v>86</v>
      </c>
      <c r="S439">
        <v>0</v>
      </c>
      <c r="T439">
        <v>86</v>
      </c>
      <c r="U439" t="s">
        <v>64</v>
      </c>
      <c r="V439">
        <v>23</v>
      </c>
      <c r="W439" t="s">
        <v>23</v>
      </c>
      <c r="X439">
        <v>5</v>
      </c>
    </row>
    <row r="440" spans="1:24" x14ac:dyDescent="0.3">
      <c r="A440" t="s">
        <v>929</v>
      </c>
      <c r="B440" s="1">
        <v>45663</v>
      </c>
      <c r="C440">
        <f t="shared" si="44"/>
        <v>6</v>
      </c>
      <c r="D440">
        <f t="shared" si="45"/>
        <v>1</v>
      </c>
      <c r="E440">
        <f t="shared" si="46"/>
        <v>2025</v>
      </c>
      <c r="F440" t="str">
        <f t="shared" si="42"/>
        <v>Jan</v>
      </c>
      <c r="G440" t="str">
        <f t="shared" si="43"/>
        <v>Mon</v>
      </c>
      <c r="H440" t="str">
        <f t="shared" si="47"/>
        <v>Weekday</v>
      </c>
      <c r="I440" s="2">
        <v>0.78125</v>
      </c>
      <c r="J440" s="2">
        <f t="shared" si="48"/>
        <v>0.78125</v>
      </c>
      <c r="K440" t="s">
        <v>930</v>
      </c>
      <c r="L440" t="s">
        <v>90</v>
      </c>
      <c r="M440" t="s">
        <v>32</v>
      </c>
      <c r="N440" t="s">
        <v>55</v>
      </c>
      <c r="O440" t="s">
        <v>21</v>
      </c>
      <c r="P440">
        <v>1</v>
      </c>
      <c r="Q440">
        <v>111</v>
      </c>
      <c r="R440">
        <v>111</v>
      </c>
      <c r="S440">
        <v>0</v>
      </c>
      <c r="T440">
        <v>111</v>
      </c>
      <c r="U440" t="s">
        <v>34</v>
      </c>
      <c r="V440">
        <v>19</v>
      </c>
      <c r="W440" t="s">
        <v>35</v>
      </c>
      <c r="X440">
        <v>0</v>
      </c>
    </row>
    <row r="441" spans="1:24" x14ac:dyDescent="0.3">
      <c r="A441" t="s">
        <v>931</v>
      </c>
      <c r="B441" s="1">
        <v>45668</v>
      </c>
      <c r="C441">
        <f t="shared" si="44"/>
        <v>11</v>
      </c>
      <c r="D441">
        <f t="shared" si="45"/>
        <v>1</v>
      </c>
      <c r="E441">
        <f t="shared" si="46"/>
        <v>2025</v>
      </c>
      <c r="F441" t="str">
        <f t="shared" si="42"/>
        <v>Jan</v>
      </c>
      <c r="G441" t="str">
        <f t="shared" si="43"/>
        <v>Sat</v>
      </c>
      <c r="H441" t="str">
        <f t="shared" si="47"/>
        <v>Weekend</v>
      </c>
      <c r="I441" s="2">
        <v>0.76041666666666663</v>
      </c>
      <c r="J441" s="2">
        <f t="shared" si="48"/>
        <v>0.76041666666666663</v>
      </c>
      <c r="K441" t="s">
        <v>932</v>
      </c>
      <c r="L441" t="s">
        <v>49</v>
      </c>
      <c r="M441" t="s">
        <v>26</v>
      </c>
      <c r="N441" t="s">
        <v>79</v>
      </c>
      <c r="O441" t="s">
        <v>80</v>
      </c>
      <c r="P441">
        <v>4</v>
      </c>
      <c r="Q441">
        <v>51</v>
      </c>
      <c r="R441">
        <v>204</v>
      </c>
      <c r="S441">
        <v>0</v>
      </c>
      <c r="T441">
        <v>204</v>
      </c>
      <c r="U441" t="s">
        <v>64</v>
      </c>
      <c r="V441">
        <v>54</v>
      </c>
      <c r="W441" t="s">
        <v>35</v>
      </c>
      <c r="X441">
        <v>0</v>
      </c>
    </row>
    <row r="442" spans="1:24" x14ac:dyDescent="0.3">
      <c r="A442" t="s">
        <v>933</v>
      </c>
      <c r="B442" s="1">
        <v>45663</v>
      </c>
      <c r="C442">
        <f t="shared" si="44"/>
        <v>6</v>
      </c>
      <c r="D442">
        <f t="shared" si="45"/>
        <v>1</v>
      </c>
      <c r="E442">
        <f t="shared" si="46"/>
        <v>2025</v>
      </c>
      <c r="F442" t="str">
        <f t="shared" si="42"/>
        <v>Jan</v>
      </c>
      <c r="G442" t="str">
        <f t="shared" si="43"/>
        <v>Mon</v>
      </c>
      <c r="H442" t="str">
        <f t="shared" si="47"/>
        <v>Weekday</v>
      </c>
      <c r="I442" s="2">
        <v>0.76041666666666663</v>
      </c>
      <c r="J442" s="2">
        <f t="shared" si="48"/>
        <v>0.76041666666666663</v>
      </c>
      <c r="K442" t="s">
        <v>934</v>
      </c>
      <c r="L442" t="s">
        <v>90</v>
      </c>
      <c r="M442" t="s">
        <v>32</v>
      </c>
      <c r="N442" t="s">
        <v>33</v>
      </c>
      <c r="O442" t="s">
        <v>21</v>
      </c>
      <c r="P442">
        <v>6</v>
      </c>
      <c r="Q442">
        <v>119</v>
      </c>
      <c r="R442">
        <v>714</v>
      </c>
      <c r="S442">
        <v>0</v>
      </c>
      <c r="T442">
        <v>714</v>
      </c>
      <c r="U442" t="s">
        <v>22</v>
      </c>
      <c r="V442">
        <v>59</v>
      </c>
      <c r="W442" t="s">
        <v>23</v>
      </c>
      <c r="X442">
        <v>1</v>
      </c>
    </row>
    <row r="443" spans="1:24" x14ac:dyDescent="0.3">
      <c r="A443" t="s">
        <v>935</v>
      </c>
      <c r="B443" s="1">
        <v>45660</v>
      </c>
      <c r="C443">
        <f t="shared" si="44"/>
        <v>3</v>
      </c>
      <c r="D443">
        <f t="shared" si="45"/>
        <v>1</v>
      </c>
      <c r="E443">
        <f t="shared" si="46"/>
        <v>2025</v>
      </c>
      <c r="F443" t="str">
        <f t="shared" si="42"/>
        <v>Jan</v>
      </c>
      <c r="G443" t="str">
        <f t="shared" si="43"/>
        <v>Fri</v>
      </c>
      <c r="H443" t="str">
        <f t="shared" si="47"/>
        <v>Weekday</v>
      </c>
      <c r="I443" s="2">
        <v>0.76041666666666663</v>
      </c>
      <c r="J443" s="2">
        <f t="shared" si="48"/>
        <v>0.76041666666666663</v>
      </c>
      <c r="K443" t="s">
        <v>936</v>
      </c>
      <c r="L443" t="s">
        <v>49</v>
      </c>
      <c r="M443" t="s">
        <v>26</v>
      </c>
      <c r="N443" t="s">
        <v>79</v>
      </c>
      <c r="O443" t="s">
        <v>80</v>
      </c>
      <c r="P443">
        <v>1</v>
      </c>
      <c r="Q443">
        <v>67</v>
      </c>
      <c r="R443">
        <v>67</v>
      </c>
      <c r="S443">
        <v>10</v>
      </c>
      <c r="T443">
        <v>57</v>
      </c>
      <c r="U443" t="s">
        <v>64</v>
      </c>
      <c r="V443">
        <v>12</v>
      </c>
      <c r="W443" t="s">
        <v>23</v>
      </c>
      <c r="X443">
        <v>5</v>
      </c>
    </row>
    <row r="444" spans="1:24" x14ac:dyDescent="0.3">
      <c r="A444" t="s">
        <v>937</v>
      </c>
      <c r="B444" s="1">
        <v>45664</v>
      </c>
      <c r="C444">
        <f t="shared" si="44"/>
        <v>7</v>
      </c>
      <c r="D444">
        <f t="shared" si="45"/>
        <v>1</v>
      </c>
      <c r="E444">
        <f t="shared" si="46"/>
        <v>2025</v>
      </c>
      <c r="F444" t="str">
        <f t="shared" si="42"/>
        <v>Jan</v>
      </c>
      <c r="G444" t="str">
        <f t="shared" si="43"/>
        <v>Tue</v>
      </c>
      <c r="H444" t="str">
        <f t="shared" si="47"/>
        <v>Weekday</v>
      </c>
      <c r="I444" s="2">
        <v>0.4375</v>
      </c>
      <c r="J444" s="2">
        <f t="shared" si="48"/>
        <v>0.4375</v>
      </c>
      <c r="K444" t="s">
        <v>938</v>
      </c>
      <c r="L444" t="s">
        <v>87</v>
      </c>
      <c r="M444" t="s">
        <v>59</v>
      </c>
      <c r="N444" t="s">
        <v>55</v>
      </c>
      <c r="O444" t="s">
        <v>21</v>
      </c>
      <c r="P444">
        <v>5</v>
      </c>
      <c r="Q444">
        <v>94</v>
      </c>
      <c r="R444">
        <v>470</v>
      </c>
      <c r="S444">
        <v>0</v>
      </c>
      <c r="T444">
        <v>470</v>
      </c>
      <c r="U444" t="s">
        <v>42</v>
      </c>
      <c r="V444">
        <v>49</v>
      </c>
      <c r="W444" t="s">
        <v>23</v>
      </c>
      <c r="X444">
        <v>1</v>
      </c>
    </row>
    <row r="445" spans="1:24" x14ac:dyDescent="0.3">
      <c r="A445" t="s">
        <v>939</v>
      </c>
      <c r="B445" s="1">
        <v>45666</v>
      </c>
      <c r="C445">
        <f t="shared" si="44"/>
        <v>9</v>
      </c>
      <c r="D445">
        <f t="shared" si="45"/>
        <v>1</v>
      </c>
      <c r="E445">
        <f t="shared" si="46"/>
        <v>2025</v>
      </c>
      <c r="F445" t="str">
        <f t="shared" si="42"/>
        <v>Jan</v>
      </c>
      <c r="G445" t="str">
        <f t="shared" si="43"/>
        <v>Thu</v>
      </c>
      <c r="H445" t="str">
        <f t="shared" si="47"/>
        <v>Weekday</v>
      </c>
      <c r="I445" s="2">
        <v>0.76041666666666663</v>
      </c>
      <c r="J445" s="2">
        <f t="shared" si="48"/>
        <v>0.76041666666666663</v>
      </c>
      <c r="K445" t="s">
        <v>940</v>
      </c>
      <c r="L445" t="s">
        <v>52</v>
      </c>
      <c r="M445" t="s">
        <v>69</v>
      </c>
      <c r="N445" t="s">
        <v>55</v>
      </c>
      <c r="O445" t="s">
        <v>21</v>
      </c>
      <c r="P445">
        <v>2</v>
      </c>
      <c r="Q445">
        <v>42</v>
      </c>
      <c r="R445">
        <v>84</v>
      </c>
      <c r="S445">
        <v>10</v>
      </c>
      <c r="T445">
        <v>74</v>
      </c>
      <c r="U445" t="s">
        <v>34</v>
      </c>
      <c r="V445">
        <v>45</v>
      </c>
      <c r="W445" t="s">
        <v>35</v>
      </c>
      <c r="X445">
        <v>4</v>
      </c>
    </row>
    <row r="446" spans="1:24" x14ac:dyDescent="0.3">
      <c r="A446" t="s">
        <v>941</v>
      </c>
      <c r="B446" s="1">
        <v>45658</v>
      </c>
      <c r="C446">
        <f t="shared" si="44"/>
        <v>1</v>
      </c>
      <c r="D446">
        <f t="shared" si="45"/>
        <v>1</v>
      </c>
      <c r="E446">
        <f t="shared" si="46"/>
        <v>2025</v>
      </c>
      <c r="F446" t="str">
        <f t="shared" si="42"/>
        <v>Jan</v>
      </c>
      <c r="G446" t="str">
        <f t="shared" si="43"/>
        <v>Wed</v>
      </c>
      <c r="H446" t="str">
        <f t="shared" si="47"/>
        <v>Weekday</v>
      </c>
      <c r="I446" s="2">
        <v>0.4375</v>
      </c>
      <c r="J446" s="2">
        <f t="shared" si="48"/>
        <v>0.4375</v>
      </c>
      <c r="K446" t="s">
        <v>942</v>
      </c>
      <c r="L446" t="s">
        <v>52</v>
      </c>
      <c r="M446" t="s">
        <v>69</v>
      </c>
      <c r="N446" t="s">
        <v>33</v>
      </c>
      <c r="O446" t="s">
        <v>21</v>
      </c>
      <c r="P446">
        <v>1</v>
      </c>
      <c r="Q446">
        <v>108</v>
      </c>
      <c r="R446">
        <v>108</v>
      </c>
      <c r="S446">
        <v>5</v>
      </c>
      <c r="T446">
        <v>103</v>
      </c>
      <c r="U446" t="s">
        <v>64</v>
      </c>
      <c r="V446">
        <v>16</v>
      </c>
      <c r="W446" t="s">
        <v>23</v>
      </c>
      <c r="X446">
        <v>5</v>
      </c>
    </row>
    <row r="447" spans="1:24" x14ac:dyDescent="0.3">
      <c r="A447" t="s">
        <v>943</v>
      </c>
      <c r="B447" s="1">
        <v>45660</v>
      </c>
      <c r="C447">
        <f t="shared" si="44"/>
        <v>3</v>
      </c>
      <c r="D447">
        <f t="shared" si="45"/>
        <v>1</v>
      </c>
      <c r="E447">
        <f t="shared" si="46"/>
        <v>2025</v>
      </c>
      <c r="F447" t="str">
        <f t="shared" si="42"/>
        <v>Jan</v>
      </c>
      <c r="G447" t="str">
        <f t="shared" si="43"/>
        <v>Fri</v>
      </c>
      <c r="H447" t="str">
        <f t="shared" si="47"/>
        <v>Weekday</v>
      </c>
      <c r="I447" s="2">
        <v>0.37847222222222221</v>
      </c>
      <c r="J447" s="2">
        <f t="shared" si="48"/>
        <v>0.37847222222222221</v>
      </c>
      <c r="K447" t="s">
        <v>944</v>
      </c>
      <c r="L447" t="s">
        <v>38</v>
      </c>
      <c r="M447" t="s">
        <v>69</v>
      </c>
      <c r="N447" t="s">
        <v>20</v>
      </c>
      <c r="O447" t="s">
        <v>21</v>
      </c>
      <c r="P447">
        <v>1</v>
      </c>
      <c r="Q447">
        <v>100</v>
      </c>
      <c r="R447">
        <v>100</v>
      </c>
      <c r="S447">
        <v>10</v>
      </c>
      <c r="T447">
        <v>90</v>
      </c>
      <c r="U447" t="s">
        <v>34</v>
      </c>
      <c r="V447">
        <v>57</v>
      </c>
      <c r="W447" t="s">
        <v>23</v>
      </c>
      <c r="X447">
        <v>0</v>
      </c>
    </row>
    <row r="448" spans="1:24" x14ac:dyDescent="0.3">
      <c r="A448" t="s">
        <v>945</v>
      </c>
      <c r="B448" s="1">
        <v>45666</v>
      </c>
      <c r="C448">
        <f t="shared" si="44"/>
        <v>9</v>
      </c>
      <c r="D448">
        <f t="shared" si="45"/>
        <v>1</v>
      </c>
      <c r="E448">
        <f t="shared" si="46"/>
        <v>2025</v>
      </c>
      <c r="F448" t="str">
        <f t="shared" si="42"/>
        <v>Jan</v>
      </c>
      <c r="G448" t="str">
        <f t="shared" si="43"/>
        <v>Thu</v>
      </c>
      <c r="H448" t="str">
        <f t="shared" si="47"/>
        <v>Weekday</v>
      </c>
      <c r="I448" s="2">
        <v>0.37847222222222221</v>
      </c>
      <c r="J448" s="2">
        <f t="shared" si="48"/>
        <v>0.37847222222222221</v>
      </c>
      <c r="K448" t="s">
        <v>946</v>
      </c>
      <c r="L448" t="s">
        <v>38</v>
      </c>
      <c r="M448" t="s">
        <v>78</v>
      </c>
      <c r="N448" t="s">
        <v>93</v>
      </c>
      <c r="O448" t="s">
        <v>94</v>
      </c>
      <c r="P448">
        <v>3</v>
      </c>
      <c r="Q448">
        <v>56</v>
      </c>
      <c r="R448">
        <v>178</v>
      </c>
      <c r="S448">
        <v>10</v>
      </c>
      <c r="T448">
        <v>158</v>
      </c>
      <c r="U448" t="s">
        <v>34</v>
      </c>
      <c r="V448">
        <v>12</v>
      </c>
      <c r="W448" t="s">
        <v>35</v>
      </c>
      <c r="X448">
        <v>4</v>
      </c>
    </row>
    <row r="449" spans="1:24" x14ac:dyDescent="0.3">
      <c r="A449" t="s">
        <v>947</v>
      </c>
      <c r="B449" s="1">
        <v>45661</v>
      </c>
      <c r="C449">
        <f t="shared" si="44"/>
        <v>4</v>
      </c>
      <c r="D449">
        <f t="shared" si="45"/>
        <v>1</v>
      </c>
      <c r="E449">
        <f t="shared" si="46"/>
        <v>2025</v>
      </c>
      <c r="F449" t="str">
        <f t="shared" si="42"/>
        <v>Jan</v>
      </c>
      <c r="G449" t="str">
        <f t="shared" si="43"/>
        <v>Sat</v>
      </c>
      <c r="H449" t="str">
        <f t="shared" si="47"/>
        <v>Weekend</v>
      </c>
      <c r="I449" s="2">
        <v>0.4375</v>
      </c>
      <c r="J449" s="2">
        <f t="shared" si="48"/>
        <v>0.4375</v>
      </c>
      <c r="K449" t="s">
        <v>948</v>
      </c>
      <c r="L449" t="s">
        <v>49</v>
      </c>
      <c r="M449" t="s">
        <v>39</v>
      </c>
      <c r="N449" t="s">
        <v>93</v>
      </c>
      <c r="O449" t="s">
        <v>94</v>
      </c>
      <c r="P449">
        <v>5</v>
      </c>
      <c r="Q449">
        <v>99</v>
      </c>
      <c r="R449">
        <v>495</v>
      </c>
      <c r="S449">
        <v>0</v>
      </c>
      <c r="T449">
        <v>495</v>
      </c>
      <c r="U449" t="s">
        <v>64</v>
      </c>
      <c r="V449">
        <v>17</v>
      </c>
      <c r="W449" t="s">
        <v>35</v>
      </c>
      <c r="X449">
        <v>4</v>
      </c>
    </row>
    <row r="450" spans="1:24" x14ac:dyDescent="0.3">
      <c r="A450" t="s">
        <v>949</v>
      </c>
      <c r="B450" s="1">
        <v>45667</v>
      </c>
      <c r="C450">
        <f t="shared" si="44"/>
        <v>10</v>
      </c>
      <c r="D450">
        <f t="shared" si="45"/>
        <v>1</v>
      </c>
      <c r="E450">
        <f t="shared" si="46"/>
        <v>2025</v>
      </c>
      <c r="F450" t="str">
        <f t="shared" ref="F450:F501" si="49">TEXT(B450,"mmm")</f>
        <v>Jan</v>
      </c>
      <c r="G450" t="str">
        <f t="shared" ref="G450:G501" si="50">TEXT(B450,"ddd")</f>
        <v>Fri</v>
      </c>
      <c r="H450" t="str">
        <f t="shared" si="47"/>
        <v>Weekday</v>
      </c>
      <c r="I450" s="2">
        <v>0.78125</v>
      </c>
      <c r="J450" s="2">
        <f t="shared" si="48"/>
        <v>0.78125</v>
      </c>
      <c r="K450" t="s">
        <v>950</v>
      </c>
      <c r="L450" t="s">
        <v>52</v>
      </c>
      <c r="M450" t="s">
        <v>19</v>
      </c>
      <c r="N450" t="s">
        <v>55</v>
      </c>
      <c r="O450" t="s">
        <v>21</v>
      </c>
      <c r="P450">
        <v>5</v>
      </c>
      <c r="Q450">
        <v>114</v>
      </c>
      <c r="R450">
        <v>570</v>
      </c>
      <c r="S450">
        <v>10</v>
      </c>
      <c r="T450">
        <v>560</v>
      </c>
      <c r="U450" t="s">
        <v>42</v>
      </c>
      <c r="V450">
        <v>29</v>
      </c>
      <c r="W450" t="s">
        <v>35</v>
      </c>
      <c r="X450">
        <v>2</v>
      </c>
    </row>
    <row r="451" spans="1:24" x14ac:dyDescent="0.3">
      <c r="A451" t="s">
        <v>951</v>
      </c>
      <c r="B451" s="1">
        <v>45663</v>
      </c>
      <c r="C451">
        <f t="shared" ref="C451:C501" si="51">DAY(B451)</f>
        <v>6</v>
      </c>
      <c r="D451">
        <f t="shared" ref="D451:D501" si="52">MONTH(B451)</f>
        <v>1</v>
      </c>
      <c r="E451">
        <f t="shared" ref="E451:E501" si="53">YEAR(B451)</f>
        <v>2025</v>
      </c>
      <c r="F451" t="str">
        <f t="shared" si="49"/>
        <v>Jan</v>
      </c>
      <c r="G451" t="str">
        <f t="shared" si="50"/>
        <v>Mon</v>
      </c>
      <c r="H451" t="str">
        <f t="shared" ref="H451:H501" si="54">IF(OR(G451="sat",G451="sun"),"Weekend","Weekday")</f>
        <v>Weekday</v>
      </c>
      <c r="I451" s="2">
        <v>0.37847222222222221</v>
      </c>
      <c r="J451" s="2">
        <f t="shared" ref="J451:J501" si="55">IF(ISNUMBER(I451),I451,IFERROR(TIMEVALUE(I451),TIMEVALUE(SUBSTITUTE(I451,".",":"))))</f>
        <v>0.37847222222222221</v>
      </c>
      <c r="K451" t="s">
        <v>952</v>
      </c>
      <c r="L451" t="s">
        <v>31</v>
      </c>
      <c r="M451" t="s">
        <v>19</v>
      </c>
      <c r="N451" t="s">
        <v>105</v>
      </c>
      <c r="O451" t="s">
        <v>106</v>
      </c>
      <c r="P451">
        <v>3</v>
      </c>
      <c r="Q451">
        <v>77</v>
      </c>
      <c r="R451">
        <v>231</v>
      </c>
      <c r="S451">
        <v>5</v>
      </c>
      <c r="T451">
        <v>226</v>
      </c>
      <c r="U451" t="s">
        <v>22</v>
      </c>
      <c r="V451">
        <v>52</v>
      </c>
      <c r="W451" t="s">
        <v>23</v>
      </c>
      <c r="X451">
        <v>0</v>
      </c>
    </row>
    <row r="452" spans="1:24" x14ac:dyDescent="0.3">
      <c r="A452" t="s">
        <v>953</v>
      </c>
      <c r="B452" s="1">
        <v>45660</v>
      </c>
      <c r="C452">
        <f t="shared" si="51"/>
        <v>3</v>
      </c>
      <c r="D452">
        <f t="shared" si="52"/>
        <v>1</v>
      </c>
      <c r="E452">
        <f t="shared" si="53"/>
        <v>2025</v>
      </c>
      <c r="F452" t="str">
        <f t="shared" si="49"/>
        <v>Jan</v>
      </c>
      <c r="G452" t="str">
        <f t="shared" si="50"/>
        <v>Fri</v>
      </c>
      <c r="H452" t="str">
        <f t="shared" si="54"/>
        <v>Weekday</v>
      </c>
      <c r="I452" s="2">
        <v>0.4375</v>
      </c>
      <c r="J452" s="2">
        <f t="shared" si="55"/>
        <v>0.4375</v>
      </c>
      <c r="K452" t="s">
        <v>954</v>
      </c>
      <c r="L452" t="s">
        <v>90</v>
      </c>
      <c r="M452" t="s">
        <v>45</v>
      </c>
      <c r="N452" t="s">
        <v>79</v>
      </c>
      <c r="O452" t="s">
        <v>80</v>
      </c>
      <c r="P452">
        <v>4</v>
      </c>
      <c r="Q452">
        <v>28</v>
      </c>
      <c r="R452">
        <v>112</v>
      </c>
      <c r="S452">
        <v>5</v>
      </c>
      <c r="T452">
        <v>107</v>
      </c>
      <c r="U452" t="s">
        <v>64</v>
      </c>
      <c r="V452">
        <v>16</v>
      </c>
      <c r="W452" t="s">
        <v>23</v>
      </c>
      <c r="X452">
        <v>3</v>
      </c>
    </row>
    <row r="453" spans="1:24" x14ac:dyDescent="0.3">
      <c r="A453" t="s">
        <v>955</v>
      </c>
      <c r="B453" s="1">
        <v>45666</v>
      </c>
      <c r="C453">
        <f t="shared" si="51"/>
        <v>9</v>
      </c>
      <c r="D453">
        <f t="shared" si="52"/>
        <v>1</v>
      </c>
      <c r="E453">
        <f t="shared" si="53"/>
        <v>2025</v>
      </c>
      <c r="F453" t="str">
        <f t="shared" si="49"/>
        <v>Jan</v>
      </c>
      <c r="G453" t="str">
        <f t="shared" si="50"/>
        <v>Thu</v>
      </c>
      <c r="H453" t="str">
        <f t="shared" si="54"/>
        <v>Weekday</v>
      </c>
      <c r="I453" s="2">
        <v>0.4375</v>
      </c>
      <c r="J453" s="2">
        <f t="shared" si="55"/>
        <v>0.4375</v>
      </c>
      <c r="K453" t="s">
        <v>956</v>
      </c>
      <c r="L453" t="s">
        <v>52</v>
      </c>
      <c r="M453" t="s">
        <v>69</v>
      </c>
      <c r="N453" t="s">
        <v>27</v>
      </c>
      <c r="O453" t="s">
        <v>28</v>
      </c>
      <c r="P453">
        <v>4</v>
      </c>
      <c r="Q453">
        <v>50</v>
      </c>
      <c r="R453">
        <v>200</v>
      </c>
      <c r="S453">
        <v>5</v>
      </c>
      <c r="T453">
        <v>195</v>
      </c>
      <c r="U453" t="s">
        <v>22</v>
      </c>
      <c r="V453">
        <v>31</v>
      </c>
      <c r="W453" t="s">
        <v>23</v>
      </c>
      <c r="X453">
        <v>3</v>
      </c>
    </row>
    <row r="454" spans="1:24" x14ac:dyDescent="0.3">
      <c r="A454" t="s">
        <v>957</v>
      </c>
      <c r="B454" s="1">
        <v>45659</v>
      </c>
      <c r="C454">
        <f t="shared" si="51"/>
        <v>2</v>
      </c>
      <c r="D454">
        <f t="shared" si="52"/>
        <v>1</v>
      </c>
      <c r="E454">
        <f t="shared" si="53"/>
        <v>2025</v>
      </c>
      <c r="F454" t="str">
        <f t="shared" si="49"/>
        <v>Jan</v>
      </c>
      <c r="G454" t="str">
        <f t="shared" si="50"/>
        <v>Thu</v>
      </c>
      <c r="H454" t="str">
        <f t="shared" si="54"/>
        <v>Weekday</v>
      </c>
      <c r="I454" s="2">
        <v>0.78125</v>
      </c>
      <c r="J454" s="2">
        <f t="shared" si="55"/>
        <v>0.78125</v>
      </c>
      <c r="K454" t="s">
        <v>958</v>
      </c>
      <c r="L454" t="s">
        <v>31</v>
      </c>
      <c r="M454" t="s">
        <v>69</v>
      </c>
      <c r="N454" t="s">
        <v>20</v>
      </c>
      <c r="O454" t="s">
        <v>21</v>
      </c>
      <c r="P454">
        <v>2</v>
      </c>
      <c r="Q454">
        <v>36</v>
      </c>
      <c r="R454">
        <v>72</v>
      </c>
      <c r="S454">
        <v>10</v>
      </c>
      <c r="T454">
        <v>62</v>
      </c>
      <c r="U454" t="s">
        <v>64</v>
      </c>
      <c r="V454">
        <v>17</v>
      </c>
      <c r="W454" t="s">
        <v>23</v>
      </c>
      <c r="X454">
        <v>5</v>
      </c>
    </row>
    <row r="455" spans="1:24" x14ac:dyDescent="0.3">
      <c r="A455" t="s">
        <v>959</v>
      </c>
      <c r="B455" s="1">
        <v>45664</v>
      </c>
      <c r="C455">
        <f t="shared" si="51"/>
        <v>7</v>
      </c>
      <c r="D455">
        <f t="shared" si="52"/>
        <v>1</v>
      </c>
      <c r="E455">
        <f t="shared" si="53"/>
        <v>2025</v>
      </c>
      <c r="F455" t="str">
        <f t="shared" si="49"/>
        <v>Jan</v>
      </c>
      <c r="G455" t="str">
        <f t="shared" si="50"/>
        <v>Tue</v>
      </c>
      <c r="H455" t="str">
        <f t="shared" si="54"/>
        <v>Weekday</v>
      </c>
      <c r="I455" s="2">
        <v>0.4375</v>
      </c>
      <c r="J455" s="2">
        <f t="shared" si="55"/>
        <v>0.4375</v>
      </c>
      <c r="K455" t="s">
        <v>960</v>
      </c>
      <c r="L455" t="s">
        <v>90</v>
      </c>
      <c r="M455" t="s">
        <v>19</v>
      </c>
      <c r="N455" t="s">
        <v>20</v>
      </c>
      <c r="O455" t="s">
        <v>21</v>
      </c>
      <c r="P455">
        <v>3</v>
      </c>
      <c r="Q455">
        <v>83</v>
      </c>
      <c r="R455">
        <v>259</v>
      </c>
      <c r="S455">
        <v>0</v>
      </c>
      <c r="T455">
        <v>249</v>
      </c>
      <c r="U455" t="s">
        <v>64</v>
      </c>
      <c r="V455">
        <v>57</v>
      </c>
      <c r="W455" t="s">
        <v>35</v>
      </c>
      <c r="X455">
        <v>2</v>
      </c>
    </row>
    <row r="456" spans="1:24" x14ac:dyDescent="0.3">
      <c r="A456" t="s">
        <v>961</v>
      </c>
      <c r="B456" s="1">
        <v>45659</v>
      </c>
      <c r="C456">
        <f t="shared" si="51"/>
        <v>2</v>
      </c>
      <c r="D456">
        <f t="shared" si="52"/>
        <v>1</v>
      </c>
      <c r="E456">
        <f t="shared" si="53"/>
        <v>2025</v>
      </c>
      <c r="F456" t="str">
        <f t="shared" si="49"/>
        <v>Jan</v>
      </c>
      <c r="G456" t="str">
        <f t="shared" si="50"/>
        <v>Thu</v>
      </c>
      <c r="H456" t="str">
        <f t="shared" si="54"/>
        <v>Weekday</v>
      </c>
      <c r="I456" s="2">
        <v>0.37847222222222221</v>
      </c>
      <c r="J456" s="2">
        <f t="shared" si="55"/>
        <v>0.37847222222222221</v>
      </c>
      <c r="K456" t="s">
        <v>962</v>
      </c>
      <c r="L456" t="s">
        <v>90</v>
      </c>
      <c r="M456" t="s">
        <v>32</v>
      </c>
      <c r="N456" t="s">
        <v>79</v>
      </c>
      <c r="O456" t="s">
        <v>80</v>
      </c>
      <c r="P456">
        <v>4</v>
      </c>
      <c r="Q456">
        <v>77</v>
      </c>
      <c r="R456">
        <v>308</v>
      </c>
      <c r="S456">
        <v>0</v>
      </c>
      <c r="T456">
        <v>308</v>
      </c>
      <c r="U456" t="s">
        <v>64</v>
      </c>
      <c r="V456">
        <v>40</v>
      </c>
      <c r="W456" t="s">
        <v>35</v>
      </c>
      <c r="X456">
        <v>2</v>
      </c>
    </row>
    <row r="457" spans="1:24" x14ac:dyDescent="0.3">
      <c r="A457" t="s">
        <v>963</v>
      </c>
      <c r="B457" s="1">
        <v>45659</v>
      </c>
      <c r="C457">
        <f t="shared" si="51"/>
        <v>2</v>
      </c>
      <c r="D457">
        <f t="shared" si="52"/>
        <v>1</v>
      </c>
      <c r="E457">
        <f t="shared" si="53"/>
        <v>2025</v>
      </c>
      <c r="F457" t="str">
        <f t="shared" si="49"/>
        <v>Jan</v>
      </c>
      <c r="G457" t="str">
        <f t="shared" si="50"/>
        <v>Thu</v>
      </c>
      <c r="H457" t="str">
        <f t="shared" si="54"/>
        <v>Weekday</v>
      </c>
      <c r="I457" s="2">
        <v>0.37847222222222221</v>
      </c>
      <c r="J457" s="2">
        <f t="shared" si="55"/>
        <v>0.37847222222222221</v>
      </c>
      <c r="K457" t="s">
        <v>964</v>
      </c>
      <c r="L457" t="s">
        <v>31</v>
      </c>
      <c r="M457" t="s">
        <v>69</v>
      </c>
      <c r="N457" t="s">
        <v>46</v>
      </c>
      <c r="O457" t="s">
        <v>28</v>
      </c>
      <c r="P457">
        <v>6</v>
      </c>
      <c r="Q457">
        <v>36</v>
      </c>
      <c r="R457">
        <v>216</v>
      </c>
      <c r="S457">
        <v>0</v>
      </c>
      <c r="T457">
        <v>216</v>
      </c>
      <c r="U457" t="s">
        <v>64</v>
      </c>
      <c r="V457">
        <v>42</v>
      </c>
      <c r="W457" t="s">
        <v>23</v>
      </c>
      <c r="X457">
        <v>2</v>
      </c>
    </row>
    <row r="458" spans="1:24" x14ac:dyDescent="0.3">
      <c r="A458" t="s">
        <v>965</v>
      </c>
      <c r="B458" s="1">
        <v>45659</v>
      </c>
      <c r="C458">
        <f t="shared" si="51"/>
        <v>2</v>
      </c>
      <c r="D458">
        <f t="shared" si="52"/>
        <v>1</v>
      </c>
      <c r="E458">
        <f t="shared" si="53"/>
        <v>2025</v>
      </c>
      <c r="F458" t="str">
        <f t="shared" si="49"/>
        <v>Jan</v>
      </c>
      <c r="G458" t="str">
        <f t="shared" si="50"/>
        <v>Thu</v>
      </c>
      <c r="H458" t="str">
        <f t="shared" si="54"/>
        <v>Weekday</v>
      </c>
      <c r="I458" s="2">
        <v>0.37847222222222221</v>
      </c>
      <c r="J458" s="2">
        <f t="shared" si="55"/>
        <v>0.37847222222222221</v>
      </c>
      <c r="K458" t="s">
        <v>966</v>
      </c>
      <c r="L458" t="s">
        <v>52</v>
      </c>
      <c r="M458" t="s">
        <v>26</v>
      </c>
      <c r="N458" t="s">
        <v>79</v>
      </c>
      <c r="O458" t="s">
        <v>80</v>
      </c>
      <c r="P458">
        <v>4</v>
      </c>
      <c r="Q458">
        <v>56</v>
      </c>
      <c r="R458">
        <v>224</v>
      </c>
      <c r="S458">
        <v>10</v>
      </c>
      <c r="T458">
        <v>214</v>
      </c>
      <c r="U458" t="s">
        <v>34</v>
      </c>
      <c r="V458">
        <v>25</v>
      </c>
      <c r="W458" t="s">
        <v>23</v>
      </c>
      <c r="X458">
        <v>4</v>
      </c>
    </row>
    <row r="459" spans="1:24" x14ac:dyDescent="0.3">
      <c r="A459" t="s">
        <v>967</v>
      </c>
      <c r="B459" s="1">
        <v>45666</v>
      </c>
      <c r="C459">
        <f t="shared" si="51"/>
        <v>9</v>
      </c>
      <c r="D459">
        <f t="shared" si="52"/>
        <v>1</v>
      </c>
      <c r="E459">
        <f t="shared" si="53"/>
        <v>2025</v>
      </c>
      <c r="F459" t="str">
        <f t="shared" si="49"/>
        <v>Jan</v>
      </c>
      <c r="G459" t="str">
        <f t="shared" si="50"/>
        <v>Thu</v>
      </c>
      <c r="H459" t="str">
        <f t="shared" si="54"/>
        <v>Weekday</v>
      </c>
      <c r="I459" s="2">
        <v>0.37847222222222221</v>
      </c>
      <c r="J459" s="2">
        <f t="shared" si="55"/>
        <v>0.37847222222222221</v>
      </c>
      <c r="K459" t="s">
        <v>968</v>
      </c>
      <c r="L459" t="s">
        <v>49</v>
      </c>
      <c r="M459" t="s">
        <v>19</v>
      </c>
      <c r="N459" t="s">
        <v>33</v>
      </c>
      <c r="O459" t="s">
        <v>21</v>
      </c>
      <c r="P459">
        <v>3</v>
      </c>
      <c r="Q459">
        <v>110</v>
      </c>
      <c r="R459">
        <v>330</v>
      </c>
      <c r="S459">
        <v>10</v>
      </c>
      <c r="T459">
        <v>320</v>
      </c>
      <c r="U459" t="s">
        <v>42</v>
      </c>
      <c r="V459">
        <v>56</v>
      </c>
      <c r="W459" t="s">
        <v>23</v>
      </c>
      <c r="X459">
        <v>2</v>
      </c>
    </row>
    <row r="460" spans="1:24" x14ac:dyDescent="0.3">
      <c r="A460" t="s">
        <v>969</v>
      </c>
      <c r="B460" s="1">
        <v>45666</v>
      </c>
      <c r="C460">
        <f t="shared" si="51"/>
        <v>9</v>
      </c>
      <c r="D460">
        <f t="shared" si="52"/>
        <v>1</v>
      </c>
      <c r="E460">
        <f t="shared" si="53"/>
        <v>2025</v>
      </c>
      <c r="F460" t="str">
        <f t="shared" si="49"/>
        <v>Jan</v>
      </c>
      <c r="G460" t="str">
        <f t="shared" si="50"/>
        <v>Thu</v>
      </c>
      <c r="H460" t="str">
        <f t="shared" si="54"/>
        <v>Weekday</v>
      </c>
      <c r="I460" s="2">
        <v>0.37847222222222221</v>
      </c>
      <c r="J460" s="2">
        <f t="shared" si="55"/>
        <v>0.37847222222222221</v>
      </c>
      <c r="K460" t="s">
        <v>970</v>
      </c>
      <c r="L460" t="s">
        <v>31</v>
      </c>
      <c r="M460" t="s">
        <v>69</v>
      </c>
      <c r="N460" t="s">
        <v>55</v>
      </c>
      <c r="O460" t="s">
        <v>21</v>
      </c>
      <c r="P460">
        <v>4</v>
      </c>
      <c r="Q460">
        <v>106</v>
      </c>
      <c r="R460">
        <v>424</v>
      </c>
      <c r="S460">
        <v>10</v>
      </c>
      <c r="T460">
        <v>414</v>
      </c>
      <c r="U460" t="s">
        <v>42</v>
      </c>
      <c r="V460">
        <v>45</v>
      </c>
      <c r="W460" t="s">
        <v>35</v>
      </c>
      <c r="X460">
        <v>0</v>
      </c>
    </row>
    <row r="461" spans="1:24" x14ac:dyDescent="0.3">
      <c r="A461" t="s">
        <v>971</v>
      </c>
      <c r="B461" s="1">
        <v>45663</v>
      </c>
      <c r="C461">
        <f t="shared" si="51"/>
        <v>6</v>
      </c>
      <c r="D461">
        <f t="shared" si="52"/>
        <v>1</v>
      </c>
      <c r="E461">
        <f t="shared" si="53"/>
        <v>2025</v>
      </c>
      <c r="F461" t="str">
        <f t="shared" si="49"/>
        <v>Jan</v>
      </c>
      <c r="G461" t="str">
        <f t="shared" si="50"/>
        <v>Mon</v>
      </c>
      <c r="H461" t="str">
        <f t="shared" si="54"/>
        <v>Weekday</v>
      </c>
      <c r="I461" s="2">
        <v>0.37847222222222221</v>
      </c>
      <c r="J461" s="2">
        <f t="shared" si="55"/>
        <v>0.37847222222222221</v>
      </c>
      <c r="K461" t="s">
        <v>972</v>
      </c>
      <c r="L461" t="s">
        <v>90</v>
      </c>
      <c r="M461" t="s">
        <v>59</v>
      </c>
      <c r="N461" t="s">
        <v>20</v>
      </c>
      <c r="O461" t="s">
        <v>21</v>
      </c>
      <c r="P461">
        <v>5</v>
      </c>
      <c r="Q461">
        <v>60</v>
      </c>
      <c r="R461">
        <v>300</v>
      </c>
      <c r="S461">
        <v>10</v>
      </c>
      <c r="T461">
        <v>290</v>
      </c>
      <c r="U461" t="s">
        <v>42</v>
      </c>
      <c r="V461">
        <v>53</v>
      </c>
      <c r="W461" t="s">
        <v>35</v>
      </c>
      <c r="X461">
        <v>3</v>
      </c>
    </row>
    <row r="462" spans="1:24" x14ac:dyDescent="0.3">
      <c r="A462" t="s">
        <v>973</v>
      </c>
      <c r="B462" s="1">
        <v>45665</v>
      </c>
      <c r="C462">
        <f t="shared" si="51"/>
        <v>8</v>
      </c>
      <c r="D462">
        <f t="shared" si="52"/>
        <v>1</v>
      </c>
      <c r="E462">
        <f t="shared" si="53"/>
        <v>2025</v>
      </c>
      <c r="F462" t="str">
        <f t="shared" si="49"/>
        <v>Jan</v>
      </c>
      <c r="G462" t="str">
        <f t="shared" si="50"/>
        <v>Wed</v>
      </c>
      <c r="H462" t="str">
        <f t="shared" si="54"/>
        <v>Weekday</v>
      </c>
      <c r="I462" s="2">
        <v>0.37847222222222221</v>
      </c>
      <c r="J462" s="2">
        <f t="shared" si="55"/>
        <v>0.37847222222222221</v>
      </c>
      <c r="K462" t="s">
        <v>974</v>
      </c>
      <c r="L462" t="s">
        <v>49</v>
      </c>
      <c r="M462" t="s">
        <v>39</v>
      </c>
      <c r="N462" t="s">
        <v>105</v>
      </c>
      <c r="O462" t="s">
        <v>106</v>
      </c>
      <c r="P462">
        <v>4</v>
      </c>
      <c r="Q462">
        <v>44</v>
      </c>
      <c r="R462">
        <v>176</v>
      </c>
      <c r="S462">
        <v>0</v>
      </c>
      <c r="T462">
        <v>176</v>
      </c>
      <c r="U462" t="s">
        <v>42</v>
      </c>
      <c r="V462">
        <v>54</v>
      </c>
      <c r="W462" t="s">
        <v>23</v>
      </c>
      <c r="X462">
        <v>4</v>
      </c>
    </row>
    <row r="463" spans="1:24" x14ac:dyDescent="0.3">
      <c r="A463" t="s">
        <v>975</v>
      </c>
      <c r="B463" s="1">
        <v>45662</v>
      </c>
      <c r="C463">
        <f t="shared" si="51"/>
        <v>5</v>
      </c>
      <c r="D463">
        <f t="shared" si="52"/>
        <v>1</v>
      </c>
      <c r="E463">
        <f t="shared" si="53"/>
        <v>2025</v>
      </c>
      <c r="F463" t="str">
        <f t="shared" si="49"/>
        <v>Jan</v>
      </c>
      <c r="G463" t="str">
        <f t="shared" si="50"/>
        <v>Sun</v>
      </c>
      <c r="H463" t="str">
        <f t="shared" si="54"/>
        <v>Weekend</v>
      </c>
      <c r="I463" s="2">
        <v>0.37847222222222221</v>
      </c>
      <c r="J463" s="2">
        <f t="shared" si="55"/>
        <v>0.37847222222222221</v>
      </c>
      <c r="K463" t="s">
        <v>976</v>
      </c>
      <c r="L463" t="s">
        <v>38</v>
      </c>
      <c r="M463" t="s">
        <v>45</v>
      </c>
      <c r="N463" t="s">
        <v>40</v>
      </c>
      <c r="O463" t="s">
        <v>41</v>
      </c>
      <c r="P463">
        <v>6</v>
      </c>
      <c r="Q463">
        <v>85</v>
      </c>
      <c r="R463">
        <v>510</v>
      </c>
      <c r="S463">
        <v>10</v>
      </c>
      <c r="T463">
        <v>500</v>
      </c>
      <c r="U463" t="s">
        <v>34</v>
      </c>
      <c r="V463">
        <v>40</v>
      </c>
      <c r="W463" t="s">
        <v>23</v>
      </c>
      <c r="X463">
        <v>2</v>
      </c>
    </row>
    <row r="464" spans="1:24" x14ac:dyDescent="0.3">
      <c r="A464" t="s">
        <v>977</v>
      </c>
      <c r="B464" s="1">
        <v>45659</v>
      </c>
      <c r="C464">
        <f t="shared" si="51"/>
        <v>2</v>
      </c>
      <c r="D464">
        <f t="shared" si="52"/>
        <v>1</v>
      </c>
      <c r="E464">
        <f t="shared" si="53"/>
        <v>2025</v>
      </c>
      <c r="F464" t="str">
        <f t="shared" si="49"/>
        <v>Jan</v>
      </c>
      <c r="G464" t="str">
        <f t="shared" si="50"/>
        <v>Thu</v>
      </c>
      <c r="H464" t="str">
        <f t="shared" si="54"/>
        <v>Weekday</v>
      </c>
      <c r="I464" s="2">
        <v>0.4375</v>
      </c>
      <c r="J464" s="2">
        <f t="shared" si="55"/>
        <v>0.4375</v>
      </c>
      <c r="K464" t="s">
        <v>978</v>
      </c>
      <c r="L464" t="s">
        <v>90</v>
      </c>
      <c r="M464" t="s">
        <v>26</v>
      </c>
      <c r="N464" t="s">
        <v>27</v>
      </c>
      <c r="O464" t="s">
        <v>28</v>
      </c>
      <c r="P464">
        <v>3</v>
      </c>
      <c r="Q464">
        <v>41</v>
      </c>
      <c r="R464">
        <v>123</v>
      </c>
      <c r="S464">
        <v>0</v>
      </c>
      <c r="T464">
        <v>123</v>
      </c>
      <c r="U464" t="s">
        <v>64</v>
      </c>
      <c r="V464">
        <v>15</v>
      </c>
      <c r="W464" t="s">
        <v>23</v>
      </c>
      <c r="X464">
        <v>0</v>
      </c>
    </row>
    <row r="465" spans="1:24" x14ac:dyDescent="0.3">
      <c r="A465" t="s">
        <v>979</v>
      </c>
      <c r="B465" s="1">
        <v>45661</v>
      </c>
      <c r="C465">
        <f t="shared" si="51"/>
        <v>4</v>
      </c>
      <c r="D465">
        <f t="shared" si="52"/>
        <v>1</v>
      </c>
      <c r="E465">
        <f t="shared" si="53"/>
        <v>2025</v>
      </c>
      <c r="F465" t="str">
        <f t="shared" si="49"/>
        <v>Jan</v>
      </c>
      <c r="G465" t="str">
        <f t="shared" si="50"/>
        <v>Sat</v>
      </c>
      <c r="H465" t="str">
        <f t="shared" si="54"/>
        <v>Weekend</v>
      </c>
      <c r="I465" s="2">
        <v>0.37847222222222221</v>
      </c>
      <c r="J465" s="2">
        <f t="shared" si="55"/>
        <v>0.37847222222222221</v>
      </c>
      <c r="K465" t="s">
        <v>980</v>
      </c>
      <c r="L465" t="s">
        <v>58</v>
      </c>
      <c r="M465" t="s">
        <v>69</v>
      </c>
      <c r="N465" t="s">
        <v>27</v>
      </c>
      <c r="O465" t="s">
        <v>28</v>
      </c>
      <c r="P465">
        <v>6</v>
      </c>
      <c r="Q465">
        <v>102</v>
      </c>
      <c r="R465">
        <v>612</v>
      </c>
      <c r="S465">
        <v>0</v>
      </c>
      <c r="T465">
        <v>612</v>
      </c>
      <c r="U465" t="s">
        <v>22</v>
      </c>
      <c r="V465">
        <v>58</v>
      </c>
      <c r="W465" t="s">
        <v>23</v>
      </c>
      <c r="X465">
        <v>2</v>
      </c>
    </row>
    <row r="466" spans="1:24" x14ac:dyDescent="0.3">
      <c r="A466" t="s">
        <v>981</v>
      </c>
      <c r="B466" s="1">
        <v>45658</v>
      </c>
      <c r="C466">
        <f t="shared" si="51"/>
        <v>1</v>
      </c>
      <c r="D466">
        <f t="shared" si="52"/>
        <v>1</v>
      </c>
      <c r="E466">
        <f t="shared" si="53"/>
        <v>2025</v>
      </c>
      <c r="F466" t="str">
        <f t="shared" si="49"/>
        <v>Jan</v>
      </c>
      <c r="G466" t="str">
        <f t="shared" si="50"/>
        <v>Wed</v>
      </c>
      <c r="H466" t="str">
        <f t="shared" si="54"/>
        <v>Weekday</v>
      </c>
      <c r="I466" s="2">
        <v>0.37847222222222221</v>
      </c>
      <c r="J466" s="2">
        <f t="shared" si="55"/>
        <v>0.37847222222222221</v>
      </c>
      <c r="K466" t="s">
        <v>982</v>
      </c>
      <c r="L466" t="s">
        <v>31</v>
      </c>
      <c r="M466" t="s">
        <v>45</v>
      </c>
      <c r="N466" t="s">
        <v>105</v>
      </c>
      <c r="O466" t="s">
        <v>106</v>
      </c>
      <c r="P466">
        <v>1</v>
      </c>
      <c r="Q466">
        <v>24</v>
      </c>
      <c r="R466">
        <v>24</v>
      </c>
      <c r="S466">
        <v>0</v>
      </c>
      <c r="T466">
        <v>24</v>
      </c>
      <c r="U466" t="s">
        <v>42</v>
      </c>
      <c r="V466">
        <v>31</v>
      </c>
      <c r="W466" t="s">
        <v>35</v>
      </c>
      <c r="X466">
        <v>0</v>
      </c>
    </row>
    <row r="467" spans="1:24" x14ac:dyDescent="0.3">
      <c r="A467" t="s">
        <v>983</v>
      </c>
      <c r="B467" s="1">
        <v>45665</v>
      </c>
      <c r="C467">
        <f t="shared" si="51"/>
        <v>8</v>
      </c>
      <c r="D467">
        <f t="shared" si="52"/>
        <v>1</v>
      </c>
      <c r="E467">
        <f t="shared" si="53"/>
        <v>2025</v>
      </c>
      <c r="F467" t="str">
        <f t="shared" si="49"/>
        <v>Jan</v>
      </c>
      <c r="G467" t="str">
        <f t="shared" si="50"/>
        <v>Wed</v>
      </c>
      <c r="H467" t="str">
        <f t="shared" si="54"/>
        <v>Weekday</v>
      </c>
      <c r="I467" s="2">
        <v>0.76041666666666663</v>
      </c>
      <c r="J467" s="2">
        <f t="shared" si="55"/>
        <v>0.76041666666666663</v>
      </c>
      <c r="K467" t="s">
        <v>984</v>
      </c>
      <c r="L467" t="s">
        <v>31</v>
      </c>
      <c r="M467" t="s">
        <v>59</v>
      </c>
      <c r="N467" t="s">
        <v>55</v>
      </c>
      <c r="O467" t="s">
        <v>21</v>
      </c>
      <c r="P467">
        <v>4</v>
      </c>
      <c r="Q467">
        <v>14</v>
      </c>
      <c r="R467">
        <v>56</v>
      </c>
      <c r="S467">
        <v>5</v>
      </c>
      <c r="T467">
        <v>51</v>
      </c>
      <c r="U467" t="s">
        <v>22</v>
      </c>
      <c r="V467">
        <v>59</v>
      </c>
      <c r="W467" t="s">
        <v>35</v>
      </c>
      <c r="X467">
        <v>5</v>
      </c>
    </row>
    <row r="468" spans="1:24" x14ac:dyDescent="0.3">
      <c r="A468" t="s">
        <v>985</v>
      </c>
      <c r="B468" s="1">
        <v>45659</v>
      </c>
      <c r="C468">
        <f t="shared" si="51"/>
        <v>2</v>
      </c>
      <c r="D468">
        <f t="shared" si="52"/>
        <v>1</v>
      </c>
      <c r="E468">
        <f t="shared" si="53"/>
        <v>2025</v>
      </c>
      <c r="F468" t="str">
        <f t="shared" si="49"/>
        <v>Jan</v>
      </c>
      <c r="G468" t="str">
        <f t="shared" si="50"/>
        <v>Thu</v>
      </c>
      <c r="H468" t="str">
        <f t="shared" si="54"/>
        <v>Weekday</v>
      </c>
      <c r="I468" s="2">
        <v>0.76041666666666663</v>
      </c>
      <c r="J468" s="2">
        <f t="shared" si="55"/>
        <v>0.76041666666666663</v>
      </c>
      <c r="K468" t="s">
        <v>986</v>
      </c>
      <c r="L468" t="s">
        <v>31</v>
      </c>
      <c r="M468" t="s">
        <v>78</v>
      </c>
      <c r="N468" t="s">
        <v>20</v>
      </c>
      <c r="O468" t="s">
        <v>21</v>
      </c>
      <c r="P468">
        <v>3</v>
      </c>
      <c r="Q468">
        <v>17</v>
      </c>
      <c r="R468">
        <v>51</v>
      </c>
      <c r="S468">
        <v>5</v>
      </c>
      <c r="T468">
        <v>46</v>
      </c>
      <c r="U468" t="s">
        <v>34</v>
      </c>
      <c r="V468">
        <v>21</v>
      </c>
      <c r="W468" t="s">
        <v>35</v>
      </c>
      <c r="X468">
        <v>2</v>
      </c>
    </row>
    <row r="469" spans="1:24" x14ac:dyDescent="0.3">
      <c r="A469" t="s">
        <v>987</v>
      </c>
      <c r="B469" s="1">
        <v>45668</v>
      </c>
      <c r="C469">
        <f t="shared" si="51"/>
        <v>11</v>
      </c>
      <c r="D469">
        <f t="shared" si="52"/>
        <v>1</v>
      </c>
      <c r="E469">
        <f t="shared" si="53"/>
        <v>2025</v>
      </c>
      <c r="F469" t="str">
        <f t="shared" si="49"/>
        <v>Jan</v>
      </c>
      <c r="G469" t="str">
        <f t="shared" si="50"/>
        <v>Sat</v>
      </c>
      <c r="H469" t="str">
        <f t="shared" si="54"/>
        <v>Weekend</v>
      </c>
      <c r="I469" s="2">
        <v>0.37847222222222221</v>
      </c>
      <c r="J469" s="2">
        <f t="shared" si="55"/>
        <v>0.37847222222222221</v>
      </c>
      <c r="K469" t="s">
        <v>988</v>
      </c>
      <c r="L469" t="s">
        <v>31</v>
      </c>
      <c r="M469" t="s">
        <v>69</v>
      </c>
      <c r="N469" t="s">
        <v>55</v>
      </c>
      <c r="O469" t="s">
        <v>21</v>
      </c>
      <c r="P469">
        <v>1</v>
      </c>
      <c r="Q469">
        <v>116</v>
      </c>
      <c r="R469">
        <v>116</v>
      </c>
      <c r="S469">
        <v>0</v>
      </c>
      <c r="T469">
        <v>116</v>
      </c>
      <c r="U469" t="s">
        <v>34</v>
      </c>
      <c r="V469">
        <v>15</v>
      </c>
      <c r="W469" t="s">
        <v>35</v>
      </c>
      <c r="X469">
        <v>3</v>
      </c>
    </row>
    <row r="470" spans="1:24" x14ac:dyDescent="0.3">
      <c r="A470" t="s">
        <v>989</v>
      </c>
      <c r="B470" s="1">
        <v>45661</v>
      </c>
      <c r="C470">
        <f t="shared" si="51"/>
        <v>4</v>
      </c>
      <c r="D470">
        <f t="shared" si="52"/>
        <v>1</v>
      </c>
      <c r="E470">
        <f t="shared" si="53"/>
        <v>2025</v>
      </c>
      <c r="F470" t="str">
        <f t="shared" si="49"/>
        <v>Jan</v>
      </c>
      <c r="G470" t="str">
        <f t="shared" si="50"/>
        <v>Sat</v>
      </c>
      <c r="H470" t="str">
        <f t="shared" si="54"/>
        <v>Weekend</v>
      </c>
      <c r="I470" s="2">
        <v>0.4375</v>
      </c>
      <c r="J470" s="2">
        <f t="shared" si="55"/>
        <v>0.4375</v>
      </c>
      <c r="K470" t="s">
        <v>990</v>
      </c>
      <c r="L470" t="s">
        <v>58</v>
      </c>
      <c r="M470" t="s">
        <v>59</v>
      </c>
      <c r="N470" t="s">
        <v>27</v>
      </c>
      <c r="O470" t="s">
        <v>28</v>
      </c>
      <c r="P470">
        <v>5</v>
      </c>
      <c r="Q470">
        <v>120</v>
      </c>
      <c r="R470">
        <v>600</v>
      </c>
      <c r="S470">
        <v>0</v>
      </c>
      <c r="T470">
        <v>600</v>
      </c>
      <c r="U470" t="s">
        <v>42</v>
      </c>
      <c r="V470">
        <v>28</v>
      </c>
      <c r="W470" t="s">
        <v>35</v>
      </c>
      <c r="X470">
        <v>4</v>
      </c>
    </row>
    <row r="471" spans="1:24" x14ac:dyDescent="0.3">
      <c r="A471" t="s">
        <v>991</v>
      </c>
      <c r="B471" s="1">
        <v>45663</v>
      </c>
      <c r="C471">
        <f t="shared" si="51"/>
        <v>6</v>
      </c>
      <c r="D471">
        <f t="shared" si="52"/>
        <v>1</v>
      </c>
      <c r="E471">
        <f t="shared" si="53"/>
        <v>2025</v>
      </c>
      <c r="F471" t="str">
        <f t="shared" si="49"/>
        <v>Jan</v>
      </c>
      <c r="G471" t="str">
        <f t="shared" si="50"/>
        <v>Mon</v>
      </c>
      <c r="H471" t="str">
        <f t="shared" si="54"/>
        <v>Weekday</v>
      </c>
      <c r="I471" s="2">
        <v>0.37847222222222221</v>
      </c>
      <c r="J471" s="2">
        <f t="shared" si="55"/>
        <v>0.37847222222222221</v>
      </c>
      <c r="K471" t="s">
        <v>992</v>
      </c>
      <c r="L471" t="s">
        <v>38</v>
      </c>
      <c r="M471" t="s">
        <v>78</v>
      </c>
      <c r="N471" t="s">
        <v>105</v>
      </c>
      <c r="O471" t="s">
        <v>106</v>
      </c>
      <c r="P471">
        <v>1</v>
      </c>
      <c r="Q471">
        <v>34</v>
      </c>
      <c r="R471">
        <v>34</v>
      </c>
      <c r="S471">
        <v>0</v>
      </c>
      <c r="T471">
        <v>34</v>
      </c>
      <c r="U471" t="s">
        <v>64</v>
      </c>
      <c r="V471">
        <v>60</v>
      </c>
      <c r="W471" t="s">
        <v>35</v>
      </c>
      <c r="X471">
        <v>3</v>
      </c>
    </row>
    <row r="472" spans="1:24" x14ac:dyDescent="0.3">
      <c r="A472" t="s">
        <v>993</v>
      </c>
      <c r="B472" s="1">
        <v>45668</v>
      </c>
      <c r="C472">
        <f t="shared" si="51"/>
        <v>11</v>
      </c>
      <c r="D472">
        <f t="shared" si="52"/>
        <v>1</v>
      </c>
      <c r="E472">
        <f t="shared" si="53"/>
        <v>2025</v>
      </c>
      <c r="F472" t="str">
        <f t="shared" si="49"/>
        <v>Jan</v>
      </c>
      <c r="G472" t="str">
        <f t="shared" si="50"/>
        <v>Sat</v>
      </c>
      <c r="H472" t="str">
        <f t="shared" si="54"/>
        <v>Weekend</v>
      </c>
      <c r="I472" s="2">
        <v>0.4375</v>
      </c>
      <c r="J472" s="2">
        <f t="shared" si="55"/>
        <v>0.4375</v>
      </c>
      <c r="K472" t="s">
        <v>994</v>
      </c>
      <c r="L472" t="s">
        <v>52</v>
      </c>
      <c r="M472" t="s">
        <v>78</v>
      </c>
      <c r="N472" t="s">
        <v>79</v>
      </c>
      <c r="O472" t="s">
        <v>80</v>
      </c>
      <c r="P472">
        <v>4</v>
      </c>
      <c r="Q472">
        <v>90</v>
      </c>
      <c r="R472">
        <v>360</v>
      </c>
      <c r="S472">
        <v>10</v>
      </c>
      <c r="T472">
        <v>350</v>
      </c>
      <c r="U472" t="s">
        <v>64</v>
      </c>
      <c r="V472">
        <v>25</v>
      </c>
      <c r="W472" t="s">
        <v>23</v>
      </c>
      <c r="X472">
        <v>5</v>
      </c>
    </row>
    <row r="473" spans="1:24" x14ac:dyDescent="0.3">
      <c r="A473" t="s">
        <v>995</v>
      </c>
      <c r="B473" s="1">
        <v>45667</v>
      </c>
      <c r="C473">
        <f t="shared" si="51"/>
        <v>10</v>
      </c>
      <c r="D473">
        <f t="shared" si="52"/>
        <v>1</v>
      </c>
      <c r="E473">
        <f t="shared" si="53"/>
        <v>2025</v>
      </c>
      <c r="F473" t="str">
        <f t="shared" si="49"/>
        <v>Jan</v>
      </c>
      <c r="G473" t="str">
        <f t="shared" si="50"/>
        <v>Fri</v>
      </c>
      <c r="H473" t="str">
        <f t="shared" si="54"/>
        <v>Weekday</v>
      </c>
      <c r="I473" s="2">
        <v>0.37847222222222221</v>
      </c>
      <c r="J473" s="2">
        <f t="shared" si="55"/>
        <v>0.37847222222222221</v>
      </c>
      <c r="K473" t="s">
        <v>996</v>
      </c>
      <c r="L473" t="s">
        <v>90</v>
      </c>
      <c r="M473" t="s">
        <v>19</v>
      </c>
      <c r="N473" t="s">
        <v>93</v>
      </c>
      <c r="O473" t="s">
        <v>94</v>
      </c>
      <c r="P473">
        <v>2</v>
      </c>
      <c r="Q473">
        <v>118</v>
      </c>
      <c r="R473">
        <v>236</v>
      </c>
      <c r="S473">
        <v>5</v>
      </c>
      <c r="T473">
        <v>231</v>
      </c>
      <c r="U473" t="s">
        <v>64</v>
      </c>
      <c r="V473">
        <v>22</v>
      </c>
      <c r="W473" t="s">
        <v>23</v>
      </c>
      <c r="X473">
        <v>5</v>
      </c>
    </row>
    <row r="474" spans="1:24" x14ac:dyDescent="0.3">
      <c r="A474" t="s">
        <v>997</v>
      </c>
      <c r="B474" s="1">
        <v>45660</v>
      </c>
      <c r="C474">
        <f t="shared" si="51"/>
        <v>3</v>
      </c>
      <c r="D474">
        <f t="shared" si="52"/>
        <v>1</v>
      </c>
      <c r="E474">
        <f t="shared" si="53"/>
        <v>2025</v>
      </c>
      <c r="F474" t="str">
        <f t="shared" si="49"/>
        <v>Jan</v>
      </c>
      <c r="G474" t="str">
        <f t="shared" si="50"/>
        <v>Fri</v>
      </c>
      <c r="H474" t="str">
        <f t="shared" si="54"/>
        <v>Weekday</v>
      </c>
      <c r="I474" s="2">
        <v>0.4375</v>
      </c>
      <c r="J474" s="2">
        <f t="shared" si="55"/>
        <v>0.4375</v>
      </c>
      <c r="K474" t="s">
        <v>998</v>
      </c>
      <c r="L474" t="s">
        <v>52</v>
      </c>
      <c r="M474" t="s">
        <v>32</v>
      </c>
      <c r="N474" t="s">
        <v>46</v>
      </c>
      <c r="O474" t="s">
        <v>28</v>
      </c>
      <c r="P474">
        <v>3</v>
      </c>
      <c r="Q474">
        <v>120</v>
      </c>
      <c r="R474">
        <v>360</v>
      </c>
      <c r="S474">
        <v>5</v>
      </c>
      <c r="T474">
        <v>355</v>
      </c>
      <c r="U474" t="s">
        <v>64</v>
      </c>
      <c r="V474">
        <v>41</v>
      </c>
      <c r="W474" t="s">
        <v>23</v>
      </c>
      <c r="X474">
        <v>0</v>
      </c>
    </row>
    <row r="475" spans="1:24" x14ac:dyDescent="0.3">
      <c r="A475" t="s">
        <v>999</v>
      </c>
      <c r="B475" s="1">
        <v>45659</v>
      </c>
      <c r="C475">
        <f t="shared" si="51"/>
        <v>2</v>
      </c>
      <c r="D475">
        <f t="shared" si="52"/>
        <v>1</v>
      </c>
      <c r="E475">
        <f t="shared" si="53"/>
        <v>2025</v>
      </c>
      <c r="F475" t="str">
        <f t="shared" si="49"/>
        <v>Jan</v>
      </c>
      <c r="G475" t="str">
        <f t="shared" si="50"/>
        <v>Thu</v>
      </c>
      <c r="H475" t="str">
        <f t="shared" si="54"/>
        <v>Weekday</v>
      </c>
      <c r="I475" s="2">
        <v>0.76041666666666663</v>
      </c>
      <c r="J475" s="2">
        <f t="shared" si="55"/>
        <v>0.76041666666666663</v>
      </c>
      <c r="K475" t="s">
        <v>1000</v>
      </c>
      <c r="L475" t="s">
        <v>31</v>
      </c>
      <c r="M475" t="s">
        <v>32</v>
      </c>
      <c r="N475" t="s">
        <v>55</v>
      </c>
      <c r="O475" t="s">
        <v>21</v>
      </c>
      <c r="P475">
        <v>2</v>
      </c>
      <c r="Q475">
        <v>54</v>
      </c>
      <c r="R475">
        <v>108</v>
      </c>
      <c r="S475">
        <v>5</v>
      </c>
      <c r="T475">
        <v>103</v>
      </c>
      <c r="U475" t="s">
        <v>64</v>
      </c>
      <c r="V475">
        <v>48</v>
      </c>
      <c r="W475" t="s">
        <v>35</v>
      </c>
      <c r="X475">
        <v>2</v>
      </c>
    </row>
    <row r="476" spans="1:24" x14ac:dyDescent="0.3">
      <c r="A476" t="s">
        <v>1001</v>
      </c>
      <c r="B476" s="1">
        <v>45667</v>
      </c>
      <c r="C476">
        <f t="shared" si="51"/>
        <v>10</v>
      </c>
      <c r="D476">
        <f t="shared" si="52"/>
        <v>1</v>
      </c>
      <c r="E476">
        <f t="shared" si="53"/>
        <v>2025</v>
      </c>
      <c r="F476" t="str">
        <f t="shared" si="49"/>
        <v>Jan</v>
      </c>
      <c r="G476" t="str">
        <f t="shared" si="50"/>
        <v>Fri</v>
      </c>
      <c r="H476" t="str">
        <f t="shared" si="54"/>
        <v>Weekday</v>
      </c>
      <c r="I476" s="2">
        <v>0.78125</v>
      </c>
      <c r="J476" s="2">
        <f t="shared" si="55"/>
        <v>0.78125</v>
      </c>
      <c r="K476" t="s">
        <v>1002</v>
      </c>
      <c r="L476" t="s">
        <v>58</v>
      </c>
      <c r="M476" t="s">
        <v>78</v>
      </c>
      <c r="N476" t="s">
        <v>79</v>
      </c>
      <c r="O476" t="s">
        <v>80</v>
      </c>
      <c r="P476">
        <v>2</v>
      </c>
      <c r="Q476">
        <v>105</v>
      </c>
      <c r="R476">
        <v>210</v>
      </c>
      <c r="S476">
        <v>0</v>
      </c>
      <c r="T476">
        <v>210</v>
      </c>
      <c r="U476" t="s">
        <v>22</v>
      </c>
      <c r="V476">
        <v>50</v>
      </c>
      <c r="W476" t="s">
        <v>23</v>
      </c>
      <c r="X476">
        <v>0</v>
      </c>
    </row>
    <row r="477" spans="1:24" x14ac:dyDescent="0.3">
      <c r="A477" t="s">
        <v>1003</v>
      </c>
      <c r="B477" s="1">
        <v>45665</v>
      </c>
      <c r="C477">
        <f t="shared" si="51"/>
        <v>8</v>
      </c>
      <c r="D477">
        <f t="shared" si="52"/>
        <v>1</v>
      </c>
      <c r="E477">
        <f t="shared" si="53"/>
        <v>2025</v>
      </c>
      <c r="F477" t="str">
        <f t="shared" si="49"/>
        <v>Jan</v>
      </c>
      <c r="G477" t="str">
        <f t="shared" si="50"/>
        <v>Wed</v>
      </c>
      <c r="H477" t="str">
        <f t="shared" si="54"/>
        <v>Weekday</v>
      </c>
      <c r="I477" s="2">
        <v>0.37847222222222221</v>
      </c>
      <c r="J477" s="2">
        <f t="shared" si="55"/>
        <v>0.37847222222222221</v>
      </c>
      <c r="K477" t="s">
        <v>1004</v>
      </c>
      <c r="L477" t="s">
        <v>49</v>
      </c>
      <c r="M477" t="s">
        <v>32</v>
      </c>
      <c r="N477" t="s">
        <v>105</v>
      </c>
      <c r="O477" t="s">
        <v>106</v>
      </c>
      <c r="P477">
        <v>6</v>
      </c>
      <c r="Q477">
        <v>77</v>
      </c>
      <c r="R477">
        <v>462</v>
      </c>
      <c r="S477">
        <v>0</v>
      </c>
      <c r="T477">
        <v>462</v>
      </c>
      <c r="U477" t="s">
        <v>42</v>
      </c>
      <c r="V477">
        <v>40</v>
      </c>
      <c r="W477" t="s">
        <v>35</v>
      </c>
      <c r="X477">
        <v>2</v>
      </c>
    </row>
    <row r="478" spans="1:24" x14ac:dyDescent="0.3">
      <c r="A478" t="s">
        <v>1005</v>
      </c>
      <c r="B478" s="1">
        <v>45663</v>
      </c>
      <c r="C478">
        <f t="shared" si="51"/>
        <v>6</v>
      </c>
      <c r="D478">
        <f t="shared" si="52"/>
        <v>1</v>
      </c>
      <c r="E478">
        <f t="shared" si="53"/>
        <v>2025</v>
      </c>
      <c r="F478" t="str">
        <f t="shared" si="49"/>
        <v>Jan</v>
      </c>
      <c r="G478" t="str">
        <f t="shared" si="50"/>
        <v>Mon</v>
      </c>
      <c r="H478" t="str">
        <f t="shared" si="54"/>
        <v>Weekday</v>
      </c>
      <c r="I478" s="2">
        <v>0.78125</v>
      </c>
      <c r="J478" s="2">
        <f t="shared" si="55"/>
        <v>0.78125</v>
      </c>
      <c r="K478" t="s">
        <v>1006</v>
      </c>
      <c r="L478" t="s">
        <v>38</v>
      </c>
      <c r="M478" t="s">
        <v>19</v>
      </c>
      <c r="N478" t="s">
        <v>20</v>
      </c>
      <c r="O478" t="s">
        <v>21</v>
      </c>
      <c r="P478">
        <v>5</v>
      </c>
      <c r="Q478">
        <v>76</v>
      </c>
      <c r="R478">
        <v>380</v>
      </c>
      <c r="S478">
        <v>5</v>
      </c>
      <c r="T478">
        <v>375</v>
      </c>
      <c r="U478" t="s">
        <v>42</v>
      </c>
      <c r="V478">
        <v>10</v>
      </c>
      <c r="W478" t="s">
        <v>35</v>
      </c>
      <c r="X478">
        <v>2</v>
      </c>
    </row>
    <row r="479" spans="1:24" x14ac:dyDescent="0.3">
      <c r="A479" t="s">
        <v>1007</v>
      </c>
      <c r="B479" s="1">
        <v>45662</v>
      </c>
      <c r="C479">
        <f t="shared" si="51"/>
        <v>5</v>
      </c>
      <c r="D479">
        <f t="shared" si="52"/>
        <v>1</v>
      </c>
      <c r="E479">
        <f t="shared" si="53"/>
        <v>2025</v>
      </c>
      <c r="F479" t="str">
        <f t="shared" si="49"/>
        <v>Jan</v>
      </c>
      <c r="G479" t="str">
        <f t="shared" si="50"/>
        <v>Sun</v>
      </c>
      <c r="H479" t="str">
        <f t="shared" si="54"/>
        <v>Weekend</v>
      </c>
      <c r="I479" s="2">
        <v>0.78125</v>
      </c>
      <c r="J479" s="2">
        <f t="shared" si="55"/>
        <v>0.78125</v>
      </c>
      <c r="K479" t="s">
        <v>1008</v>
      </c>
      <c r="L479" t="s">
        <v>38</v>
      </c>
      <c r="M479" t="s">
        <v>59</v>
      </c>
      <c r="N479" t="s">
        <v>79</v>
      </c>
      <c r="O479" t="s">
        <v>80</v>
      </c>
      <c r="P479">
        <v>6</v>
      </c>
      <c r="Q479">
        <v>87</v>
      </c>
      <c r="R479">
        <v>522</v>
      </c>
      <c r="S479">
        <v>10</v>
      </c>
      <c r="T479">
        <v>512</v>
      </c>
      <c r="U479" t="s">
        <v>34</v>
      </c>
      <c r="V479">
        <v>50</v>
      </c>
      <c r="W479" t="s">
        <v>23</v>
      </c>
      <c r="X479">
        <v>4</v>
      </c>
    </row>
    <row r="480" spans="1:24" x14ac:dyDescent="0.3">
      <c r="A480" t="s">
        <v>1009</v>
      </c>
      <c r="B480" s="1">
        <v>45667</v>
      </c>
      <c r="C480">
        <f t="shared" si="51"/>
        <v>10</v>
      </c>
      <c r="D480">
        <f t="shared" si="52"/>
        <v>1</v>
      </c>
      <c r="E480">
        <f t="shared" si="53"/>
        <v>2025</v>
      </c>
      <c r="F480" t="str">
        <f t="shared" si="49"/>
        <v>Jan</v>
      </c>
      <c r="G480" t="str">
        <f t="shared" si="50"/>
        <v>Fri</v>
      </c>
      <c r="H480" t="str">
        <f t="shared" si="54"/>
        <v>Weekday</v>
      </c>
      <c r="I480" s="2">
        <v>0.4375</v>
      </c>
      <c r="J480" s="2">
        <f t="shared" si="55"/>
        <v>0.4375</v>
      </c>
      <c r="K480" t="s">
        <v>1010</v>
      </c>
      <c r="L480" t="s">
        <v>52</v>
      </c>
      <c r="M480" t="s">
        <v>59</v>
      </c>
      <c r="N480" t="s">
        <v>93</v>
      </c>
      <c r="O480" t="s">
        <v>94</v>
      </c>
      <c r="P480">
        <v>6</v>
      </c>
      <c r="Q480">
        <v>46</v>
      </c>
      <c r="R480">
        <v>276</v>
      </c>
      <c r="S480">
        <v>10</v>
      </c>
      <c r="T480">
        <v>266</v>
      </c>
      <c r="U480" t="s">
        <v>64</v>
      </c>
      <c r="V480">
        <v>23</v>
      </c>
      <c r="W480" t="s">
        <v>23</v>
      </c>
      <c r="X480">
        <v>0</v>
      </c>
    </row>
    <row r="481" spans="1:24" x14ac:dyDescent="0.3">
      <c r="A481" t="s">
        <v>1011</v>
      </c>
      <c r="B481" s="1">
        <v>45661</v>
      </c>
      <c r="C481">
        <f t="shared" si="51"/>
        <v>4</v>
      </c>
      <c r="D481">
        <f t="shared" si="52"/>
        <v>1</v>
      </c>
      <c r="E481">
        <f t="shared" si="53"/>
        <v>2025</v>
      </c>
      <c r="F481" t="str">
        <f t="shared" si="49"/>
        <v>Jan</v>
      </c>
      <c r="G481" t="str">
        <f t="shared" si="50"/>
        <v>Sat</v>
      </c>
      <c r="H481" t="str">
        <f t="shared" si="54"/>
        <v>Weekend</v>
      </c>
      <c r="I481" s="2">
        <v>0.37847222222222221</v>
      </c>
      <c r="J481" s="2">
        <f t="shared" si="55"/>
        <v>0.37847222222222221</v>
      </c>
      <c r="K481" t="s">
        <v>1012</v>
      </c>
      <c r="L481" t="s">
        <v>38</v>
      </c>
      <c r="M481" t="s">
        <v>78</v>
      </c>
      <c r="N481" t="s">
        <v>46</v>
      </c>
      <c r="O481" t="s">
        <v>28</v>
      </c>
      <c r="P481">
        <v>5</v>
      </c>
      <c r="Q481">
        <v>109</v>
      </c>
      <c r="R481">
        <v>545</v>
      </c>
      <c r="S481">
        <v>0</v>
      </c>
      <c r="T481">
        <v>545</v>
      </c>
      <c r="U481" t="s">
        <v>64</v>
      </c>
      <c r="V481">
        <v>51</v>
      </c>
      <c r="W481" t="s">
        <v>23</v>
      </c>
      <c r="X481">
        <v>5</v>
      </c>
    </row>
    <row r="482" spans="1:24" x14ac:dyDescent="0.3">
      <c r="A482" t="s">
        <v>1013</v>
      </c>
      <c r="B482" s="1">
        <v>45664</v>
      </c>
      <c r="C482">
        <f t="shared" si="51"/>
        <v>7</v>
      </c>
      <c r="D482">
        <f t="shared" si="52"/>
        <v>1</v>
      </c>
      <c r="E482">
        <f t="shared" si="53"/>
        <v>2025</v>
      </c>
      <c r="F482" t="str">
        <f t="shared" si="49"/>
        <v>Jan</v>
      </c>
      <c r="G482" t="str">
        <f t="shared" si="50"/>
        <v>Tue</v>
      </c>
      <c r="H482" t="str">
        <f t="shared" si="54"/>
        <v>Weekday</v>
      </c>
      <c r="I482" s="2">
        <v>0.4375</v>
      </c>
      <c r="J482" s="2">
        <f t="shared" si="55"/>
        <v>0.4375</v>
      </c>
      <c r="K482" t="s">
        <v>1014</v>
      </c>
      <c r="L482" t="s">
        <v>38</v>
      </c>
      <c r="M482" t="s">
        <v>19</v>
      </c>
      <c r="N482" t="s">
        <v>33</v>
      </c>
      <c r="O482" t="s">
        <v>21</v>
      </c>
      <c r="P482">
        <v>1</v>
      </c>
      <c r="Q482">
        <v>94</v>
      </c>
      <c r="R482">
        <v>94</v>
      </c>
      <c r="S482">
        <v>5</v>
      </c>
      <c r="T482">
        <v>89</v>
      </c>
      <c r="U482" t="s">
        <v>22</v>
      </c>
      <c r="V482">
        <v>37</v>
      </c>
      <c r="W482" t="s">
        <v>23</v>
      </c>
      <c r="X482">
        <v>0</v>
      </c>
    </row>
    <row r="483" spans="1:24" x14ac:dyDescent="0.3">
      <c r="A483" t="s">
        <v>1015</v>
      </c>
      <c r="B483" s="1">
        <v>45660</v>
      </c>
      <c r="C483">
        <f t="shared" si="51"/>
        <v>3</v>
      </c>
      <c r="D483">
        <f t="shared" si="52"/>
        <v>1</v>
      </c>
      <c r="E483">
        <f t="shared" si="53"/>
        <v>2025</v>
      </c>
      <c r="F483" t="str">
        <f t="shared" si="49"/>
        <v>Jan</v>
      </c>
      <c r="G483" t="str">
        <f t="shared" si="50"/>
        <v>Fri</v>
      </c>
      <c r="H483" t="str">
        <f t="shared" si="54"/>
        <v>Weekday</v>
      </c>
      <c r="I483" s="2">
        <v>0.37847222222222221</v>
      </c>
      <c r="J483" s="2">
        <f t="shared" si="55"/>
        <v>0.37847222222222221</v>
      </c>
      <c r="K483" t="s">
        <v>1016</v>
      </c>
      <c r="L483" t="s">
        <v>38</v>
      </c>
      <c r="M483" t="s">
        <v>39</v>
      </c>
      <c r="N483" t="s">
        <v>33</v>
      </c>
      <c r="O483" t="s">
        <v>21</v>
      </c>
      <c r="P483">
        <v>2</v>
      </c>
      <c r="Q483">
        <v>92</v>
      </c>
      <c r="R483">
        <v>184</v>
      </c>
      <c r="S483">
        <v>0</v>
      </c>
      <c r="T483">
        <v>184</v>
      </c>
      <c r="U483" t="s">
        <v>34</v>
      </c>
      <c r="V483">
        <v>32</v>
      </c>
      <c r="W483" t="s">
        <v>35</v>
      </c>
      <c r="X483">
        <v>0</v>
      </c>
    </row>
    <row r="484" spans="1:24" x14ac:dyDescent="0.3">
      <c r="A484" t="s">
        <v>1017</v>
      </c>
      <c r="B484" s="1">
        <v>45668</v>
      </c>
      <c r="C484">
        <f t="shared" si="51"/>
        <v>11</v>
      </c>
      <c r="D484">
        <f t="shared" si="52"/>
        <v>1</v>
      </c>
      <c r="E484">
        <f t="shared" si="53"/>
        <v>2025</v>
      </c>
      <c r="F484" t="str">
        <f t="shared" si="49"/>
        <v>Jan</v>
      </c>
      <c r="G484" t="str">
        <f t="shared" si="50"/>
        <v>Sat</v>
      </c>
      <c r="H484" t="str">
        <f t="shared" si="54"/>
        <v>Weekend</v>
      </c>
      <c r="I484" s="2">
        <v>0.4375</v>
      </c>
      <c r="J484" s="2">
        <f t="shared" si="55"/>
        <v>0.4375</v>
      </c>
      <c r="K484" t="s">
        <v>1018</v>
      </c>
      <c r="L484" t="s">
        <v>49</v>
      </c>
      <c r="M484" t="s">
        <v>39</v>
      </c>
      <c r="N484" t="s">
        <v>20</v>
      </c>
      <c r="O484" t="s">
        <v>21</v>
      </c>
      <c r="P484">
        <v>5</v>
      </c>
      <c r="Q484">
        <v>118</v>
      </c>
      <c r="R484">
        <v>590</v>
      </c>
      <c r="S484">
        <v>0</v>
      </c>
      <c r="T484">
        <v>590</v>
      </c>
      <c r="U484" t="s">
        <v>22</v>
      </c>
      <c r="V484">
        <v>19</v>
      </c>
      <c r="W484" t="s">
        <v>23</v>
      </c>
      <c r="X484">
        <v>3</v>
      </c>
    </row>
    <row r="485" spans="1:24" x14ac:dyDescent="0.3">
      <c r="A485" t="s">
        <v>1019</v>
      </c>
      <c r="B485" s="1">
        <v>45660</v>
      </c>
      <c r="C485">
        <f t="shared" si="51"/>
        <v>3</v>
      </c>
      <c r="D485">
        <f t="shared" si="52"/>
        <v>1</v>
      </c>
      <c r="E485">
        <f t="shared" si="53"/>
        <v>2025</v>
      </c>
      <c r="F485" t="str">
        <f t="shared" si="49"/>
        <v>Jan</v>
      </c>
      <c r="G485" t="str">
        <f t="shared" si="50"/>
        <v>Fri</v>
      </c>
      <c r="H485" t="str">
        <f t="shared" si="54"/>
        <v>Weekday</v>
      </c>
      <c r="I485" s="2">
        <v>0.78125</v>
      </c>
      <c r="J485" s="2">
        <f t="shared" si="55"/>
        <v>0.78125</v>
      </c>
      <c r="K485" t="s">
        <v>1020</v>
      </c>
      <c r="L485" t="s">
        <v>52</v>
      </c>
      <c r="M485" t="s">
        <v>69</v>
      </c>
      <c r="N485" t="s">
        <v>55</v>
      </c>
      <c r="O485" t="s">
        <v>21</v>
      </c>
      <c r="P485">
        <v>4</v>
      </c>
      <c r="Q485">
        <v>28</v>
      </c>
      <c r="R485">
        <v>112</v>
      </c>
      <c r="S485">
        <v>0</v>
      </c>
      <c r="T485">
        <v>112</v>
      </c>
      <c r="U485" t="s">
        <v>22</v>
      </c>
      <c r="V485">
        <v>58</v>
      </c>
      <c r="W485" t="s">
        <v>35</v>
      </c>
      <c r="X485">
        <v>4</v>
      </c>
    </row>
    <row r="486" spans="1:24" x14ac:dyDescent="0.3">
      <c r="A486" t="s">
        <v>1021</v>
      </c>
      <c r="B486" s="1">
        <v>45663</v>
      </c>
      <c r="C486">
        <f t="shared" si="51"/>
        <v>6</v>
      </c>
      <c r="D486">
        <f t="shared" si="52"/>
        <v>1</v>
      </c>
      <c r="E486">
        <f t="shared" si="53"/>
        <v>2025</v>
      </c>
      <c r="F486" t="str">
        <f t="shared" si="49"/>
        <v>Jan</v>
      </c>
      <c r="G486" t="str">
        <f t="shared" si="50"/>
        <v>Mon</v>
      </c>
      <c r="H486" t="str">
        <f t="shared" si="54"/>
        <v>Weekday</v>
      </c>
      <c r="I486" s="2">
        <v>0.4375</v>
      </c>
      <c r="J486" s="2">
        <f t="shared" si="55"/>
        <v>0.4375</v>
      </c>
      <c r="K486" t="s">
        <v>1022</v>
      </c>
      <c r="L486" t="s">
        <v>31</v>
      </c>
      <c r="M486" t="s">
        <v>26</v>
      </c>
      <c r="N486" t="s">
        <v>20</v>
      </c>
      <c r="O486" t="s">
        <v>21</v>
      </c>
      <c r="P486">
        <v>4</v>
      </c>
      <c r="Q486">
        <v>47</v>
      </c>
      <c r="R486">
        <v>188</v>
      </c>
      <c r="S486">
        <v>0</v>
      </c>
      <c r="T486">
        <v>188</v>
      </c>
      <c r="U486" t="s">
        <v>42</v>
      </c>
      <c r="V486">
        <v>35</v>
      </c>
      <c r="W486" t="s">
        <v>23</v>
      </c>
      <c r="X486">
        <v>4</v>
      </c>
    </row>
    <row r="487" spans="1:24" x14ac:dyDescent="0.3">
      <c r="A487" t="s">
        <v>1023</v>
      </c>
      <c r="B487" s="1">
        <v>45662</v>
      </c>
      <c r="C487">
        <f t="shared" si="51"/>
        <v>5</v>
      </c>
      <c r="D487">
        <f t="shared" si="52"/>
        <v>1</v>
      </c>
      <c r="E487">
        <f t="shared" si="53"/>
        <v>2025</v>
      </c>
      <c r="F487" t="str">
        <f t="shared" si="49"/>
        <v>Jan</v>
      </c>
      <c r="G487" t="str">
        <f t="shared" si="50"/>
        <v>Sun</v>
      </c>
      <c r="H487" t="str">
        <f t="shared" si="54"/>
        <v>Weekend</v>
      </c>
      <c r="I487" s="2">
        <v>0.4375</v>
      </c>
      <c r="J487" s="2">
        <f t="shared" si="55"/>
        <v>0.4375</v>
      </c>
      <c r="K487" t="s">
        <v>1024</v>
      </c>
      <c r="L487" t="s">
        <v>58</v>
      </c>
      <c r="M487" t="s">
        <v>59</v>
      </c>
      <c r="N487" t="s">
        <v>33</v>
      </c>
      <c r="O487" t="s">
        <v>21</v>
      </c>
      <c r="P487">
        <v>5</v>
      </c>
      <c r="Q487">
        <v>104</v>
      </c>
      <c r="R487">
        <v>520</v>
      </c>
      <c r="S487">
        <v>0</v>
      </c>
      <c r="T487">
        <v>520</v>
      </c>
      <c r="U487" t="s">
        <v>64</v>
      </c>
      <c r="V487">
        <v>56</v>
      </c>
      <c r="W487" t="s">
        <v>35</v>
      </c>
      <c r="X487">
        <v>5</v>
      </c>
    </row>
    <row r="488" spans="1:24" x14ac:dyDescent="0.3">
      <c r="A488" t="s">
        <v>1025</v>
      </c>
      <c r="B488" s="1">
        <v>45659</v>
      </c>
      <c r="C488">
        <f t="shared" si="51"/>
        <v>2</v>
      </c>
      <c r="D488">
        <f t="shared" si="52"/>
        <v>1</v>
      </c>
      <c r="E488">
        <f t="shared" si="53"/>
        <v>2025</v>
      </c>
      <c r="F488" t="str">
        <f t="shared" si="49"/>
        <v>Jan</v>
      </c>
      <c r="G488" t="str">
        <f t="shared" si="50"/>
        <v>Thu</v>
      </c>
      <c r="H488" t="str">
        <f t="shared" si="54"/>
        <v>Weekday</v>
      </c>
      <c r="I488" s="2">
        <v>0.78125</v>
      </c>
      <c r="J488" s="2">
        <f t="shared" si="55"/>
        <v>0.78125</v>
      </c>
      <c r="K488" t="s">
        <v>1026</v>
      </c>
      <c r="L488" t="s">
        <v>31</v>
      </c>
      <c r="M488" t="s">
        <v>39</v>
      </c>
      <c r="N488" t="s">
        <v>20</v>
      </c>
      <c r="O488" t="s">
        <v>21</v>
      </c>
      <c r="P488">
        <v>5</v>
      </c>
      <c r="Q488">
        <v>85</v>
      </c>
      <c r="R488">
        <v>425</v>
      </c>
      <c r="S488">
        <v>10</v>
      </c>
      <c r="T488">
        <v>415</v>
      </c>
      <c r="U488" t="s">
        <v>64</v>
      </c>
      <c r="V488">
        <v>14</v>
      </c>
      <c r="W488" t="s">
        <v>23</v>
      </c>
      <c r="X488">
        <v>2</v>
      </c>
    </row>
    <row r="489" spans="1:24" x14ac:dyDescent="0.3">
      <c r="A489" t="s">
        <v>1027</v>
      </c>
      <c r="B489" s="1">
        <v>45668</v>
      </c>
      <c r="C489">
        <f t="shared" si="51"/>
        <v>11</v>
      </c>
      <c r="D489">
        <f t="shared" si="52"/>
        <v>1</v>
      </c>
      <c r="E489">
        <f t="shared" si="53"/>
        <v>2025</v>
      </c>
      <c r="F489" t="str">
        <f t="shared" si="49"/>
        <v>Jan</v>
      </c>
      <c r="G489" t="str">
        <f t="shared" si="50"/>
        <v>Sat</v>
      </c>
      <c r="H489" t="str">
        <f t="shared" si="54"/>
        <v>Weekend</v>
      </c>
      <c r="I489" s="2">
        <v>0.4375</v>
      </c>
      <c r="J489" s="2">
        <f t="shared" si="55"/>
        <v>0.4375</v>
      </c>
      <c r="K489" t="s">
        <v>1028</v>
      </c>
      <c r="L489" t="s">
        <v>31</v>
      </c>
      <c r="M489" t="s">
        <v>45</v>
      </c>
      <c r="N489" t="s">
        <v>93</v>
      </c>
      <c r="O489" t="s">
        <v>94</v>
      </c>
      <c r="P489">
        <v>4</v>
      </c>
      <c r="Q489">
        <v>78</v>
      </c>
      <c r="R489">
        <v>312</v>
      </c>
      <c r="S489">
        <v>0</v>
      </c>
      <c r="T489">
        <v>312</v>
      </c>
      <c r="U489" t="s">
        <v>42</v>
      </c>
      <c r="V489">
        <v>35</v>
      </c>
      <c r="W489" t="s">
        <v>23</v>
      </c>
      <c r="X489">
        <v>1</v>
      </c>
    </row>
    <row r="490" spans="1:24" x14ac:dyDescent="0.3">
      <c r="A490" t="s">
        <v>1029</v>
      </c>
      <c r="B490" s="1">
        <v>45661</v>
      </c>
      <c r="C490">
        <f t="shared" si="51"/>
        <v>4</v>
      </c>
      <c r="D490">
        <f t="shared" si="52"/>
        <v>1</v>
      </c>
      <c r="E490">
        <f t="shared" si="53"/>
        <v>2025</v>
      </c>
      <c r="F490" t="str">
        <f t="shared" si="49"/>
        <v>Jan</v>
      </c>
      <c r="G490" t="str">
        <f t="shared" si="50"/>
        <v>Sat</v>
      </c>
      <c r="H490" t="str">
        <f t="shared" si="54"/>
        <v>Weekend</v>
      </c>
      <c r="I490" s="2">
        <v>0.4375</v>
      </c>
      <c r="J490" s="2">
        <f t="shared" si="55"/>
        <v>0.4375</v>
      </c>
      <c r="K490" t="s">
        <v>1030</v>
      </c>
      <c r="L490" t="s">
        <v>87</v>
      </c>
      <c r="M490" t="s">
        <v>39</v>
      </c>
      <c r="N490" t="s">
        <v>33</v>
      </c>
      <c r="O490" t="s">
        <v>21</v>
      </c>
      <c r="P490">
        <v>6</v>
      </c>
      <c r="Q490">
        <v>110</v>
      </c>
      <c r="R490">
        <v>660</v>
      </c>
      <c r="S490">
        <v>0</v>
      </c>
      <c r="T490">
        <v>660</v>
      </c>
      <c r="U490" t="s">
        <v>64</v>
      </c>
      <c r="V490">
        <v>44</v>
      </c>
      <c r="W490" t="s">
        <v>23</v>
      </c>
      <c r="X490">
        <v>2</v>
      </c>
    </row>
    <row r="491" spans="1:24" x14ac:dyDescent="0.3">
      <c r="A491" t="s">
        <v>1031</v>
      </c>
      <c r="B491" s="1">
        <v>45659</v>
      </c>
      <c r="C491">
        <f t="shared" si="51"/>
        <v>2</v>
      </c>
      <c r="D491">
        <f t="shared" si="52"/>
        <v>1</v>
      </c>
      <c r="E491">
        <f t="shared" si="53"/>
        <v>2025</v>
      </c>
      <c r="F491" t="str">
        <f t="shared" si="49"/>
        <v>Jan</v>
      </c>
      <c r="G491" t="str">
        <f t="shared" si="50"/>
        <v>Thu</v>
      </c>
      <c r="H491" t="str">
        <f t="shared" si="54"/>
        <v>Weekday</v>
      </c>
      <c r="I491" s="2">
        <v>0.76041666666666663</v>
      </c>
      <c r="J491" s="2">
        <f t="shared" si="55"/>
        <v>0.76041666666666663</v>
      </c>
      <c r="K491" t="s">
        <v>1032</v>
      </c>
      <c r="L491" t="s">
        <v>52</v>
      </c>
      <c r="M491" t="s">
        <v>45</v>
      </c>
      <c r="N491" t="s">
        <v>33</v>
      </c>
      <c r="O491" t="s">
        <v>21</v>
      </c>
      <c r="P491">
        <v>5</v>
      </c>
      <c r="Q491">
        <v>15</v>
      </c>
      <c r="R491">
        <v>85</v>
      </c>
      <c r="S491">
        <v>5</v>
      </c>
      <c r="T491">
        <v>70</v>
      </c>
      <c r="U491" t="s">
        <v>42</v>
      </c>
      <c r="V491">
        <v>18</v>
      </c>
      <c r="W491" t="s">
        <v>35</v>
      </c>
      <c r="X491">
        <v>2</v>
      </c>
    </row>
    <row r="492" spans="1:24" x14ac:dyDescent="0.3">
      <c r="A492" t="s">
        <v>1033</v>
      </c>
      <c r="B492" s="1">
        <v>45660</v>
      </c>
      <c r="C492">
        <f t="shared" si="51"/>
        <v>3</v>
      </c>
      <c r="D492">
        <f t="shared" si="52"/>
        <v>1</v>
      </c>
      <c r="E492">
        <f t="shared" si="53"/>
        <v>2025</v>
      </c>
      <c r="F492" t="str">
        <f t="shared" si="49"/>
        <v>Jan</v>
      </c>
      <c r="G492" t="str">
        <f t="shared" si="50"/>
        <v>Fri</v>
      </c>
      <c r="H492" t="str">
        <f t="shared" si="54"/>
        <v>Weekday</v>
      </c>
      <c r="I492" s="2">
        <v>0.78125</v>
      </c>
      <c r="J492" s="2">
        <f t="shared" si="55"/>
        <v>0.78125</v>
      </c>
      <c r="K492" t="s">
        <v>1034</v>
      </c>
      <c r="L492" t="s">
        <v>90</v>
      </c>
      <c r="M492" t="s">
        <v>32</v>
      </c>
      <c r="N492" t="s">
        <v>46</v>
      </c>
      <c r="O492" t="s">
        <v>28</v>
      </c>
      <c r="P492">
        <v>3</v>
      </c>
      <c r="Q492">
        <v>85</v>
      </c>
      <c r="R492">
        <v>255</v>
      </c>
      <c r="S492">
        <v>0</v>
      </c>
      <c r="T492">
        <v>255</v>
      </c>
      <c r="U492" t="s">
        <v>42</v>
      </c>
      <c r="V492">
        <v>12</v>
      </c>
      <c r="W492" t="s">
        <v>23</v>
      </c>
      <c r="X492">
        <v>5</v>
      </c>
    </row>
    <row r="493" spans="1:24" x14ac:dyDescent="0.3">
      <c r="A493" t="s">
        <v>1035</v>
      </c>
      <c r="B493" s="1">
        <v>45665</v>
      </c>
      <c r="C493">
        <f t="shared" si="51"/>
        <v>8</v>
      </c>
      <c r="D493">
        <f t="shared" si="52"/>
        <v>1</v>
      </c>
      <c r="E493">
        <f t="shared" si="53"/>
        <v>2025</v>
      </c>
      <c r="F493" t="str">
        <f t="shared" si="49"/>
        <v>Jan</v>
      </c>
      <c r="G493" t="str">
        <f t="shared" si="50"/>
        <v>Wed</v>
      </c>
      <c r="H493" t="str">
        <f t="shared" si="54"/>
        <v>Weekday</v>
      </c>
      <c r="I493" s="2">
        <v>0.37847222222222221</v>
      </c>
      <c r="J493" s="2">
        <f t="shared" si="55"/>
        <v>0.37847222222222221</v>
      </c>
      <c r="K493" t="s">
        <v>1036</v>
      </c>
      <c r="L493" t="s">
        <v>31</v>
      </c>
      <c r="M493" t="s">
        <v>78</v>
      </c>
      <c r="N493" t="s">
        <v>55</v>
      </c>
      <c r="O493" t="s">
        <v>21</v>
      </c>
      <c r="P493">
        <v>2</v>
      </c>
      <c r="Q493">
        <v>20</v>
      </c>
      <c r="R493">
        <v>50</v>
      </c>
      <c r="S493">
        <v>0</v>
      </c>
      <c r="T493">
        <v>40</v>
      </c>
      <c r="U493" t="s">
        <v>42</v>
      </c>
      <c r="V493">
        <v>43</v>
      </c>
      <c r="W493" t="s">
        <v>35</v>
      </c>
      <c r="X493">
        <v>5</v>
      </c>
    </row>
    <row r="494" spans="1:24" x14ac:dyDescent="0.3">
      <c r="A494" t="s">
        <v>1037</v>
      </c>
      <c r="B494" s="1">
        <v>45660</v>
      </c>
      <c r="C494">
        <f t="shared" si="51"/>
        <v>3</v>
      </c>
      <c r="D494">
        <f t="shared" si="52"/>
        <v>1</v>
      </c>
      <c r="E494">
        <f t="shared" si="53"/>
        <v>2025</v>
      </c>
      <c r="F494" t="str">
        <f t="shared" si="49"/>
        <v>Jan</v>
      </c>
      <c r="G494" t="str">
        <f t="shared" si="50"/>
        <v>Fri</v>
      </c>
      <c r="H494" t="str">
        <f t="shared" si="54"/>
        <v>Weekday</v>
      </c>
      <c r="I494" s="2">
        <v>0.76041666666666663</v>
      </c>
      <c r="J494" s="2">
        <f t="shared" si="55"/>
        <v>0.76041666666666663</v>
      </c>
      <c r="K494" t="s">
        <v>1038</v>
      </c>
      <c r="L494" t="s">
        <v>90</v>
      </c>
      <c r="M494" t="s">
        <v>69</v>
      </c>
      <c r="N494" t="s">
        <v>79</v>
      </c>
      <c r="O494" t="s">
        <v>80</v>
      </c>
      <c r="P494">
        <v>5</v>
      </c>
      <c r="Q494">
        <v>43</v>
      </c>
      <c r="R494">
        <v>215</v>
      </c>
      <c r="S494">
        <v>5</v>
      </c>
      <c r="T494">
        <v>210</v>
      </c>
      <c r="U494" t="s">
        <v>64</v>
      </c>
      <c r="V494">
        <v>10</v>
      </c>
      <c r="W494" t="s">
        <v>23</v>
      </c>
      <c r="X494">
        <v>4</v>
      </c>
    </row>
    <row r="495" spans="1:24" x14ac:dyDescent="0.3">
      <c r="A495" t="s">
        <v>1039</v>
      </c>
      <c r="B495" s="1">
        <v>45662</v>
      </c>
      <c r="C495">
        <f t="shared" si="51"/>
        <v>5</v>
      </c>
      <c r="D495">
        <f t="shared" si="52"/>
        <v>1</v>
      </c>
      <c r="E495">
        <f t="shared" si="53"/>
        <v>2025</v>
      </c>
      <c r="F495" t="str">
        <f t="shared" si="49"/>
        <v>Jan</v>
      </c>
      <c r="G495" t="str">
        <f t="shared" si="50"/>
        <v>Sun</v>
      </c>
      <c r="H495" t="str">
        <f t="shared" si="54"/>
        <v>Weekend</v>
      </c>
      <c r="I495" s="2">
        <v>0.78125</v>
      </c>
      <c r="J495" s="2">
        <f t="shared" si="55"/>
        <v>0.78125</v>
      </c>
      <c r="K495" t="s">
        <v>1040</v>
      </c>
      <c r="L495" t="s">
        <v>52</v>
      </c>
      <c r="M495" t="s">
        <v>26</v>
      </c>
      <c r="N495" t="s">
        <v>40</v>
      </c>
      <c r="O495" t="s">
        <v>1060</v>
      </c>
      <c r="P495">
        <v>4</v>
      </c>
      <c r="Q495">
        <v>103</v>
      </c>
      <c r="R495">
        <v>422</v>
      </c>
      <c r="S495">
        <v>0</v>
      </c>
      <c r="T495">
        <v>412</v>
      </c>
      <c r="U495" t="s">
        <v>22</v>
      </c>
      <c r="V495">
        <v>43</v>
      </c>
      <c r="W495" t="s">
        <v>23</v>
      </c>
      <c r="X495">
        <v>2</v>
      </c>
    </row>
    <row r="496" spans="1:24" x14ac:dyDescent="0.3">
      <c r="A496" t="s">
        <v>1041</v>
      </c>
      <c r="B496" s="1">
        <v>45667</v>
      </c>
      <c r="C496">
        <f t="shared" si="51"/>
        <v>10</v>
      </c>
      <c r="D496">
        <f t="shared" si="52"/>
        <v>1</v>
      </c>
      <c r="E496">
        <f t="shared" si="53"/>
        <v>2025</v>
      </c>
      <c r="F496" t="str">
        <f t="shared" si="49"/>
        <v>Jan</v>
      </c>
      <c r="G496" t="str">
        <f t="shared" si="50"/>
        <v>Fri</v>
      </c>
      <c r="H496" t="str">
        <f t="shared" si="54"/>
        <v>Weekday</v>
      </c>
      <c r="I496" s="2">
        <v>0.78125</v>
      </c>
      <c r="J496" s="2">
        <f t="shared" si="55"/>
        <v>0.78125</v>
      </c>
      <c r="K496" t="s">
        <v>1042</v>
      </c>
      <c r="L496" t="s">
        <v>38</v>
      </c>
      <c r="M496" t="s">
        <v>26</v>
      </c>
      <c r="N496" t="s">
        <v>46</v>
      </c>
      <c r="O496" t="s">
        <v>28</v>
      </c>
      <c r="P496">
        <v>5</v>
      </c>
      <c r="Q496">
        <v>53</v>
      </c>
      <c r="R496">
        <v>265</v>
      </c>
      <c r="S496">
        <v>5</v>
      </c>
      <c r="T496">
        <v>260</v>
      </c>
      <c r="U496" t="s">
        <v>34</v>
      </c>
      <c r="V496">
        <v>17</v>
      </c>
      <c r="W496" t="s">
        <v>35</v>
      </c>
      <c r="X496">
        <v>3</v>
      </c>
    </row>
    <row r="497" spans="1:24" x14ac:dyDescent="0.3">
      <c r="A497" t="s">
        <v>1043</v>
      </c>
      <c r="B497" s="1">
        <v>45661</v>
      </c>
      <c r="C497">
        <f t="shared" si="51"/>
        <v>4</v>
      </c>
      <c r="D497">
        <f t="shared" si="52"/>
        <v>1</v>
      </c>
      <c r="E497">
        <f t="shared" si="53"/>
        <v>2025</v>
      </c>
      <c r="F497" t="str">
        <f t="shared" si="49"/>
        <v>Jan</v>
      </c>
      <c r="G497" t="str">
        <f t="shared" si="50"/>
        <v>Sat</v>
      </c>
      <c r="H497" t="str">
        <f t="shared" si="54"/>
        <v>Weekend</v>
      </c>
      <c r="I497" s="2">
        <v>0.76041666666666663</v>
      </c>
      <c r="J497" s="2">
        <f t="shared" si="55"/>
        <v>0.76041666666666663</v>
      </c>
      <c r="K497" t="s">
        <v>1044</v>
      </c>
      <c r="L497" t="s">
        <v>87</v>
      </c>
      <c r="M497" t="s">
        <v>39</v>
      </c>
      <c r="N497" t="s">
        <v>55</v>
      </c>
      <c r="O497" t="s">
        <v>21</v>
      </c>
      <c r="P497">
        <v>1</v>
      </c>
      <c r="Q497">
        <v>115</v>
      </c>
      <c r="R497">
        <v>115</v>
      </c>
      <c r="S497">
        <v>5</v>
      </c>
      <c r="T497">
        <v>110</v>
      </c>
      <c r="U497" t="s">
        <v>64</v>
      </c>
      <c r="V497">
        <v>21</v>
      </c>
      <c r="W497" t="s">
        <v>35</v>
      </c>
      <c r="X497">
        <v>4</v>
      </c>
    </row>
    <row r="498" spans="1:24" x14ac:dyDescent="0.3">
      <c r="A498" t="s">
        <v>1045</v>
      </c>
      <c r="B498" s="1">
        <v>45662</v>
      </c>
      <c r="C498">
        <f t="shared" si="51"/>
        <v>5</v>
      </c>
      <c r="D498">
        <f t="shared" si="52"/>
        <v>1</v>
      </c>
      <c r="E498">
        <f t="shared" si="53"/>
        <v>2025</v>
      </c>
      <c r="F498" t="str">
        <f t="shared" si="49"/>
        <v>Jan</v>
      </c>
      <c r="G498" t="str">
        <f t="shared" si="50"/>
        <v>Sun</v>
      </c>
      <c r="H498" t="str">
        <f t="shared" si="54"/>
        <v>Weekend</v>
      </c>
      <c r="I498" s="2">
        <v>0.37847222222222221</v>
      </c>
      <c r="J498" s="2">
        <f t="shared" si="55"/>
        <v>0.37847222222222221</v>
      </c>
      <c r="K498" t="s">
        <v>1046</v>
      </c>
      <c r="L498" t="s">
        <v>38</v>
      </c>
      <c r="M498" t="s">
        <v>19</v>
      </c>
      <c r="N498" t="s">
        <v>33</v>
      </c>
      <c r="O498" t="s">
        <v>21</v>
      </c>
      <c r="P498">
        <v>3</v>
      </c>
      <c r="Q498">
        <v>73</v>
      </c>
      <c r="R498">
        <v>219</v>
      </c>
      <c r="S498">
        <v>5</v>
      </c>
      <c r="T498">
        <v>214</v>
      </c>
      <c r="U498" t="s">
        <v>64</v>
      </c>
      <c r="V498">
        <v>26</v>
      </c>
      <c r="W498" t="s">
        <v>23</v>
      </c>
      <c r="X498">
        <v>0</v>
      </c>
    </row>
    <row r="499" spans="1:24" x14ac:dyDescent="0.3">
      <c r="A499" t="s">
        <v>1047</v>
      </c>
      <c r="B499" s="1">
        <v>45662</v>
      </c>
      <c r="C499">
        <f t="shared" si="51"/>
        <v>5</v>
      </c>
      <c r="D499">
        <f t="shared" si="52"/>
        <v>1</v>
      </c>
      <c r="E499">
        <f t="shared" si="53"/>
        <v>2025</v>
      </c>
      <c r="F499" t="str">
        <f t="shared" si="49"/>
        <v>Jan</v>
      </c>
      <c r="G499" t="str">
        <f t="shared" si="50"/>
        <v>Sun</v>
      </c>
      <c r="H499" t="str">
        <f t="shared" si="54"/>
        <v>Weekend</v>
      </c>
      <c r="I499" s="2">
        <v>0.37847222222222221</v>
      </c>
      <c r="J499" s="2">
        <f t="shared" si="55"/>
        <v>0.37847222222222221</v>
      </c>
      <c r="K499" t="s">
        <v>1048</v>
      </c>
      <c r="L499" t="s">
        <v>52</v>
      </c>
      <c r="M499" t="s">
        <v>78</v>
      </c>
      <c r="N499" t="s">
        <v>20</v>
      </c>
      <c r="O499" t="s">
        <v>21</v>
      </c>
      <c r="P499">
        <v>6</v>
      </c>
      <c r="Q499">
        <v>53</v>
      </c>
      <c r="R499">
        <v>318</v>
      </c>
      <c r="S499">
        <v>0</v>
      </c>
      <c r="T499">
        <v>318</v>
      </c>
      <c r="U499" t="s">
        <v>42</v>
      </c>
      <c r="V499">
        <v>38</v>
      </c>
      <c r="W499" t="s">
        <v>23</v>
      </c>
      <c r="X499">
        <v>2</v>
      </c>
    </row>
    <row r="500" spans="1:24" x14ac:dyDescent="0.3">
      <c r="A500" t="s">
        <v>1049</v>
      </c>
      <c r="B500" s="1">
        <v>45668</v>
      </c>
      <c r="C500">
        <f t="shared" si="51"/>
        <v>11</v>
      </c>
      <c r="D500">
        <f t="shared" si="52"/>
        <v>1</v>
      </c>
      <c r="E500">
        <f t="shared" si="53"/>
        <v>2025</v>
      </c>
      <c r="F500" t="str">
        <f t="shared" si="49"/>
        <v>Jan</v>
      </c>
      <c r="G500" t="str">
        <f t="shared" si="50"/>
        <v>Sat</v>
      </c>
      <c r="H500" t="str">
        <f t="shared" si="54"/>
        <v>Weekend</v>
      </c>
      <c r="I500" s="2">
        <v>0.4375</v>
      </c>
      <c r="J500" s="2">
        <f t="shared" si="55"/>
        <v>0.4375</v>
      </c>
      <c r="K500" t="s">
        <v>1050</v>
      </c>
      <c r="L500" t="s">
        <v>49</v>
      </c>
      <c r="M500" t="s">
        <v>59</v>
      </c>
      <c r="N500" t="s">
        <v>79</v>
      </c>
      <c r="O500" t="s">
        <v>80</v>
      </c>
      <c r="P500">
        <v>1</v>
      </c>
      <c r="Q500">
        <v>98</v>
      </c>
      <c r="R500">
        <v>98</v>
      </c>
      <c r="S500">
        <v>0</v>
      </c>
      <c r="T500">
        <v>98</v>
      </c>
      <c r="U500" t="s">
        <v>64</v>
      </c>
      <c r="V500">
        <v>42</v>
      </c>
      <c r="W500" t="s">
        <v>35</v>
      </c>
      <c r="X500">
        <v>5</v>
      </c>
    </row>
    <row r="501" spans="1:24" x14ac:dyDescent="0.3">
      <c r="A501" t="s">
        <v>1051</v>
      </c>
      <c r="B501" s="1">
        <v>45660</v>
      </c>
      <c r="C501">
        <f t="shared" si="51"/>
        <v>3</v>
      </c>
      <c r="D501">
        <f t="shared" si="52"/>
        <v>1</v>
      </c>
      <c r="E501">
        <f t="shared" si="53"/>
        <v>2025</v>
      </c>
      <c r="F501" t="str">
        <f t="shared" si="49"/>
        <v>Jan</v>
      </c>
      <c r="G501" t="str">
        <f t="shared" si="50"/>
        <v>Fri</v>
      </c>
      <c r="H501" t="str">
        <f t="shared" si="54"/>
        <v>Weekday</v>
      </c>
      <c r="I501" s="2">
        <v>0.78125</v>
      </c>
      <c r="J501" s="2">
        <f t="shared" si="55"/>
        <v>0.78125</v>
      </c>
      <c r="K501" t="s">
        <v>1052</v>
      </c>
      <c r="L501" t="s">
        <v>31</v>
      </c>
      <c r="M501" t="s">
        <v>78</v>
      </c>
      <c r="N501" t="s">
        <v>79</v>
      </c>
      <c r="O501" t="s">
        <v>80</v>
      </c>
      <c r="P501">
        <v>3</v>
      </c>
      <c r="Q501">
        <v>101</v>
      </c>
      <c r="R501">
        <v>303</v>
      </c>
      <c r="S501">
        <v>0</v>
      </c>
      <c r="T501">
        <v>303</v>
      </c>
      <c r="U501" t="s">
        <v>64</v>
      </c>
      <c r="V501">
        <v>18</v>
      </c>
      <c r="W501" t="s">
        <v>35</v>
      </c>
      <c r="X501">
        <v>5</v>
      </c>
    </row>
  </sheetData>
  <autoFilter ref="A1:X5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Date Payable Chart</vt:lpstr>
      <vt:lpstr>Delivery Report Chart</vt:lpstr>
      <vt:lpstr>Discount People Chart</vt:lpstr>
      <vt:lpstr>City Name Chart</vt:lpstr>
      <vt:lpstr>Product Name Chart</vt:lpstr>
      <vt:lpstr>Payment Mode Chart</vt:lpstr>
      <vt:lpstr>Days Wise Total Value</vt:lpstr>
      <vt:lpstr>Blinkit Data Dashboard</vt:lpstr>
      <vt:lpstr>Uncleaned_Blinkit_Data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ISHANT KOLI</cp:lastModifiedBy>
  <dcterms:created xsi:type="dcterms:W3CDTF">2025-12-30T11:18:55Z</dcterms:created>
  <dcterms:modified xsi:type="dcterms:W3CDTF">2026-01-03T09:20:18Z</dcterms:modified>
</cp:coreProperties>
</file>